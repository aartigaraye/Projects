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UCSB\Teaching\PSTAT 177\2025 Spring\Lectures\Lecture 15 (2025_05_20)\"/>
    </mc:Choice>
  </mc:AlternateContent>
  <xr:revisionPtr revIDLastSave="0" documentId="13_ncr:1_{00FF4EC8-C619-47C9-B573-24B60ADEACD7}" xr6:coauthVersionLast="47" xr6:coauthVersionMax="47" xr10:uidLastSave="{00000000-0000-0000-0000-000000000000}"/>
  <bookViews>
    <workbookView xWindow="-96" yWindow="-96" windowWidth="23232" windowHeight="12432" tabRatio="821" xr2:uid="{00000000-000D-0000-FFFF-FFFF00000000}"/>
  </bookViews>
  <sheets>
    <sheet name="Nelson-Siegel Curve" sheetId="1" r:id="rId1"/>
    <sheet name="Nelson-Siegel Curve OLS Fit" sheetId="2" r:id="rId2"/>
    <sheet name="Svensson Curve Yield" sheetId="3" r:id="rId3"/>
  </sheets>
  <definedNames>
    <definedName name="alpha">'Svensson Curve Yield'!$C$34</definedName>
    <definedName name="alpha_2">#REF!</definedName>
    <definedName name="Curvature" localSheetId="1">'Nelson-Siegel Curve OLS Fit'!$C$33</definedName>
    <definedName name="Curvature" localSheetId="2">'Svensson Curve Yield'!$C$33</definedName>
    <definedName name="Curvature">'Nelson-Siegel Curve'!$C$33</definedName>
    <definedName name="gamma">'Svensson Curve Yield'!$C$35</definedName>
    <definedName name="gamma_2">#REF!</definedName>
    <definedName name="hinge_1">#REF!</definedName>
    <definedName name="hinge_2">#REF!</definedName>
    <definedName name="lambda" localSheetId="1">'Nelson-Siegel Curve OLS Fit'!$C$30</definedName>
    <definedName name="lambda" localSheetId="2">'Svensson Curve Yield'!$C$30</definedName>
    <definedName name="lambda">'Nelson-Siegel Curve'!$C$30</definedName>
    <definedName name="Level" localSheetId="1">'Nelson-Siegel Curve OLS Fit'!$C$31</definedName>
    <definedName name="Level" localSheetId="2">'Svensson Curve Yield'!$C$31</definedName>
    <definedName name="Level">'Nelson-Siegel Curve'!$C$31</definedName>
    <definedName name="nu">#REF!</definedName>
    <definedName name="sig_a">#REF!</definedName>
    <definedName name="sig_b">#REF!</definedName>
    <definedName name="sig_loc">#REF!</definedName>
    <definedName name="sig_shift">#REF!</definedName>
    <definedName name="Slope" localSheetId="1">'Nelson-Siegel Curve OLS Fit'!$C$32</definedName>
    <definedName name="Slope" localSheetId="2">'Svensson Curve Yield'!$C$32</definedName>
    <definedName name="Slope">'Nelson-Siegel Curve'!$C$32</definedName>
    <definedName name="solver_adj" localSheetId="1" hidden="1">'Nelson-Siegel Curve OLS Fit'!$C$31:$C$33</definedName>
    <definedName name="solver_adj" localSheetId="2" hidden="1">'Svensson Curve Yield'!$C$31:$C$35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'Nelson-Siegel Curve OLS Fit'!$R$37</definedName>
    <definedName name="solver_opt" localSheetId="2" hidden="1">'Svensson Curve Yield'!$O$30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3" l="1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32" i="3"/>
  <c r="G231" i="3" l="1"/>
  <c r="H231" i="3" s="1"/>
  <c r="G230" i="3"/>
  <c r="H230" i="3" s="1"/>
  <c r="G229" i="3"/>
  <c r="H229" i="3" s="1"/>
  <c r="G228" i="3"/>
  <c r="H228" i="3" s="1"/>
  <c r="G227" i="3"/>
  <c r="H227" i="3" s="1"/>
  <c r="G226" i="3"/>
  <c r="H226" i="3" s="1"/>
  <c r="G225" i="3"/>
  <c r="H225" i="3" s="1"/>
  <c r="G224" i="3"/>
  <c r="H224" i="3" s="1"/>
  <c r="G223" i="3"/>
  <c r="H223" i="3" s="1"/>
  <c r="G222" i="3"/>
  <c r="H222" i="3" s="1"/>
  <c r="G221" i="3"/>
  <c r="H221" i="3" s="1"/>
  <c r="G220" i="3"/>
  <c r="H220" i="3" s="1"/>
  <c r="G219" i="3"/>
  <c r="H219" i="3" s="1"/>
  <c r="G218" i="3"/>
  <c r="H218" i="3" s="1"/>
  <c r="G217" i="3"/>
  <c r="H217" i="3" s="1"/>
  <c r="G216" i="3"/>
  <c r="H216" i="3" s="1"/>
  <c r="G215" i="3"/>
  <c r="H215" i="3" s="1"/>
  <c r="G214" i="3"/>
  <c r="H214" i="3" s="1"/>
  <c r="G213" i="3"/>
  <c r="H213" i="3" s="1"/>
  <c r="G212" i="3"/>
  <c r="H212" i="3" s="1"/>
  <c r="G211" i="3"/>
  <c r="H211" i="3" s="1"/>
  <c r="G210" i="3"/>
  <c r="H210" i="3" s="1"/>
  <c r="G209" i="3"/>
  <c r="H209" i="3" s="1"/>
  <c r="G208" i="3"/>
  <c r="H208" i="3" s="1"/>
  <c r="G207" i="3"/>
  <c r="H207" i="3" s="1"/>
  <c r="G206" i="3"/>
  <c r="H206" i="3" s="1"/>
  <c r="G205" i="3"/>
  <c r="H205" i="3" s="1"/>
  <c r="G204" i="3"/>
  <c r="H204" i="3" s="1"/>
  <c r="G203" i="3"/>
  <c r="H203" i="3" s="1"/>
  <c r="G202" i="3"/>
  <c r="H202" i="3" s="1"/>
  <c r="G201" i="3"/>
  <c r="H201" i="3" s="1"/>
  <c r="G200" i="3"/>
  <c r="H200" i="3" s="1"/>
  <c r="G199" i="3"/>
  <c r="H199" i="3" s="1"/>
  <c r="G198" i="3"/>
  <c r="H198" i="3" s="1"/>
  <c r="G197" i="3"/>
  <c r="H197" i="3" s="1"/>
  <c r="G196" i="3"/>
  <c r="H196" i="3" s="1"/>
  <c r="G195" i="3"/>
  <c r="H195" i="3" s="1"/>
  <c r="G194" i="3"/>
  <c r="H194" i="3" s="1"/>
  <c r="G193" i="3"/>
  <c r="H193" i="3" s="1"/>
  <c r="G192" i="3"/>
  <c r="H192" i="3" s="1"/>
  <c r="G191" i="3"/>
  <c r="H191" i="3" s="1"/>
  <c r="G190" i="3"/>
  <c r="H190" i="3" s="1"/>
  <c r="G189" i="3"/>
  <c r="H189" i="3" s="1"/>
  <c r="G188" i="3"/>
  <c r="H188" i="3" s="1"/>
  <c r="G187" i="3"/>
  <c r="H187" i="3" s="1"/>
  <c r="G186" i="3"/>
  <c r="H186" i="3" s="1"/>
  <c r="G185" i="3"/>
  <c r="H185" i="3" s="1"/>
  <c r="G184" i="3"/>
  <c r="H184" i="3" s="1"/>
  <c r="G183" i="3"/>
  <c r="H183" i="3" s="1"/>
  <c r="G182" i="3"/>
  <c r="H182" i="3" s="1"/>
  <c r="G181" i="3"/>
  <c r="H181" i="3" s="1"/>
  <c r="G180" i="3"/>
  <c r="H180" i="3" s="1"/>
  <c r="G179" i="3"/>
  <c r="H179" i="3" s="1"/>
  <c r="G178" i="3"/>
  <c r="H178" i="3" s="1"/>
  <c r="G177" i="3"/>
  <c r="H177" i="3" s="1"/>
  <c r="G176" i="3"/>
  <c r="H176" i="3" s="1"/>
  <c r="G175" i="3"/>
  <c r="H175" i="3" s="1"/>
  <c r="G174" i="3"/>
  <c r="H174" i="3" s="1"/>
  <c r="G173" i="3"/>
  <c r="H173" i="3" s="1"/>
  <c r="G172" i="3"/>
  <c r="H172" i="3" s="1"/>
  <c r="G171" i="3"/>
  <c r="H171" i="3" s="1"/>
  <c r="G170" i="3"/>
  <c r="H170" i="3" s="1"/>
  <c r="G169" i="3"/>
  <c r="H169" i="3" s="1"/>
  <c r="G168" i="3"/>
  <c r="H168" i="3" s="1"/>
  <c r="G167" i="3"/>
  <c r="H167" i="3" s="1"/>
  <c r="G166" i="3"/>
  <c r="H166" i="3" s="1"/>
  <c r="G165" i="3"/>
  <c r="H165" i="3" s="1"/>
  <c r="G164" i="3"/>
  <c r="H164" i="3" s="1"/>
  <c r="G163" i="3"/>
  <c r="H163" i="3" s="1"/>
  <c r="G162" i="3"/>
  <c r="H162" i="3" s="1"/>
  <c r="G161" i="3"/>
  <c r="H161" i="3" s="1"/>
  <c r="G160" i="3"/>
  <c r="H160" i="3" s="1"/>
  <c r="G159" i="3"/>
  <c r="H159" i="3" s="1"/>
  <c r="G158" i="3"/>
  <c r="H158" i="3" s="1"/>
  <c r="G157" i="3"/>
  <c r="H157" i="3" s="1"/>
  <c r="G156" i="3"/>
  <c r="H156" i="3" s="1"/>
  <c r="G155" i="3"/>
  <c r="H155" i="3" s="1"/>
  <c r="G154" i="3"/>
  <c r="H154" i="3" s="1"/>
  <c r="G153" i="3"/>
  <c r="H153" i="3" s="1"/>
  <c r="G152" i="3"/>
  <c r="H152" i="3" s="1"/>
  <c r="G151" i="3"/>
  <c r="H151" i="3" s="1"/>
  <c r="G150" i="3"/>
  <c r="H150" i="3" s="1"/>
  <c r="G149" i="3"/>
  <c r="H149" i="3" s="1"/>
  <c r="G148" i="3"/>
  <c r="H148" i="3" s="1"/>
  <c r="G147" i="3"/>
  <c r="H147" i="3" s="1"/>
  <c r="G146" i="3"/>
  <c r="H146" i="3" s="1"/>
  <c r="G145" i="3"/>
  <c r="H145" i="3" s="1"/>
  <c r="G144" i="3"/>
  <c r="H144" i="3" s="1"/>
  <c r="G143" i="3"/>
  <c r="H143" i="3" s="1"/>
  <c r="G142" i="3"/>
  <c r="H142" i="3" s="1"/>
  <c r="G141" i="3"/>
  <c r="H141" i="3" s="1"/>
  <c r="G140" i="3"/>
  <c r="H140" i="3" s="1"/>
  <c r="G139" i="3"/>
  <c r="H139" i="3" s="1"/>
  <c r="G138" i="3"/>
  <c r="H138" i="3" s="1"/>
  <c r="G137" i="3"/>
  <c r="H137" i="3" s="1"/>
  <c r="G136" i="3"/>
  <c r="H136" i="3" s="1"/>
  <c r="G135" i="3"/>
  <c r="H135" i="3" s="1"/>
  <c r="G134" i="3"/>
  <c r="H134" i="3" s="1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 s="1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7" i="3"/>
  <c r="H117" i="3" s="1"/>
  <c r="G116" i="3"/>
  <c r="H116" i="3" s="1"/>
  <c r="G115" i="3"/>
  <c r="H115" i="3" s="1"/>
  <c r="G114" i="3"/>
  <c r="H114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100" i="3"/>
  <c r="H100" i="3" s="1"/>
  <c r="G99" i="3"/>
  <c r="H99" i="3" s="1"/>
  <c r="G98" i="3"/>
  <c r="H98" i="3" s="1"/>
  <c r="G97" i="3"/>
  <c r="H97" i="3" s="1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M35" i="3"/>
  <c r="G42" i="3"/>
  <c r="H42" i="3" s="1"/>
  <c r="M34" i="3"/>
  <c r="G41" i="3"/>
  <c r="H41" i="3" s="1"/>
  <c r="M33" i="3"/>
  <c r="G40" i="3"/>
  <c r="H40" i="3" s="1"/>
  <c r="M32" i="3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J31" i="3" l="1" a="1"/>
  <c r="J31" i="3" s="1"/>
  <c r="P42" i="2"/>
  <c r="P40" i="2"/>
  <c r="P41" i="2"/>
  <c r="P39" i="2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32" i="1"/>
  <c r="J35" i="3" l="1"/>
  <c r="J95" i="3"/>
  <c r="J179" i="3"/>
  <c r="J64" i="3"/>
  <c r="J81" i="3"/>
  <c r="J106" i="3"/>
  <c r="J133" i="3"/>
  <c r="J86" i="3"/>
  <c r="J51" i="3"/>
  <c r="J115" i="3"/>
  <c r="J203" i="3"/>
  <c r="J96" i="3"/>
  <c r="J145" i="3"/>
  <c r="J169" i="3"/>
  <c r="J186" i="3"/>
  <c r="J94" i="3"/>
  <c r="J59" i="3"/>
  <c r="J139" i="3"/>
  <c r="J223" i="3"/>
  <c r="J128" i="3"/>
  <c r="J194" i="3"/>
  <c r="J212" i="3"/>
  <c r="J70" i="3"/>
  <c r="J75" i="3"/>
  <c r="J159" i="3"/>
  <c r="J40" i="3"/>
  <c r="J160" i="3"/>
  <c r="J42" i="3"/>
  <c r="J69" i="3"/>
  <c r="J78" i="3"/>
  <c r="J79" i="3"/>
  <c r="J99" i="3"/>
  <c r="J123" i="3"/>
  <c r="J143" i="3"/>
  <c r="J163" i="3"/>
  <c r="J187" i="3"/>
  <c r="J207" i="3"/>
  <c r="J227" i="3"/>
  <c r="J48" i="3"/>
  <c r="J68" i="3"/>
  <c r="J100" i="3"/>
  <c r="J132" i="3"/>
  <c r="J164" i="3"/>
  <c r="J89" i="3"/>
  <c r="J153" i="3"/>
  <c r="J200" i="3"/>
  <c r="J50" i="3"/>
  <c r="J114" i="3"/>
  <c r="J174" i="3"/>
  <c r="J217" i="3"/>
  <c r="J77" i="3"/>
  <c r="J141" i="3"/>
  <c r="J192" i="3"/>
  <c r="J102" i="3"/>
  <c r="J110" i="3"/>
  <c r="J118" i="3"/>
  <c r="J126" i="3"/>
  <c r="J43" i="3"/>
  <c r="J63" i="3"/>
  <c r="J83" i="3"/>
  <c r="J107" i="3"/>
  <c r="J127" i="3"/>
  <c r="J147" i="3"/>
  <c r="J171" i="3"/>
  <c r="J191" i="3"/>
  <c r="J211" i="3"/>
  <c r="J32" i="3"/>
  <c r="O32" i="3" s="1"/>
  <c r="J52" i="3"/>
  <c r="J80" i="3"/>
  <c r="J112" i="3"/>
  <c r="J144" i="3"/>
  <c r="J49" i="3"/>
  <c r="J113" i="3"/>
  <c r="J173" i="3"/>
  <c r="J216" i="3"/>
  <c r="J74" i="3"/>
  <c r="J138" i="3"/>
  <c r="J190" i="3"/>
  <c r="J37" i="3"/>
  <c r="J101" i="3"/>
  <c r="J165" i="3"/>
  <c r="J208" i="3"/>
  <c r="J188" i="3"/>
  <c r="J193" i="3"/>
  <c r="J198" i="3"/>
  <c r="J204" i="3"/>
  <c r="J47" i="3"/>
  <c r="J67" i="3"/>
  <c r="J91" i="3"/>
  <c r="J111" i="3"/>
  <c r="J131" i="3"/>
  <c r="J155" i="3"/>
  <c r="J175" i="3"/>
  <c r="J195" i="3"/>
  <c r="J219" i="3"/>
  <c r="J36" i="3"/>
  <c r="J56" i="3"/>
  <c r="J84" i="3"/>
  <c r="J116" i="3"/>
  <c r="J148" i="3"/>
  <c r="J57" i="3"/>
  <c r="J121" i="3"/>
  <c r="J178" i="3"/>
  <c r="J221" i="3"/>
  <c r="J82" i="3"/>
  <c r="J146" i="3"/>
  <c r="J196" i="3"/>
  <c r="J45" i="3"/>
  <c r="J109" i="3"/>
  <c r="J170" i="3"/>
  <c r="J213" i="3"/>
  <c r="J209" i="3"/>
  <c r="J214" i="3"/>
  <c r="J220" i="3"/>
  <c r="J224" i="3"/>
  <c r="J72" i="3"/>
  <c r="J88" i="3"/>
  <c r="J104" i="3"/>
  <c r="J120" i="3"/>
  <c r="J136" i="3"/>
  <c r="J152" i="3"/>
  <c r="J33" i="3"/>
  <c r="J65" i="3"/>
  <c r="J97" i="3"/>
  <c r="J129" i="3"/>
  <c r="J161" i="3"/>
  <c r="J184" i="3"/>
  <c r="J205" i="3"/>
  <c r="J226" i="3"/>
  <c r="J58" i="3"/>
  <c r="J90" i="3"/>
  <c r="J122" i="3"/>
  <c r="J154" i="3"/>
  <c r="J180" i="3"/>
  <c r="J201" i="3"/>
  <c r="J222" i="3"/>
  <c r="J53" i="3"/>
  <c r="J85" i="3"/>
  <c r="J117" i="3"/>
  <c r="J149" i="3"/>
  <c r="J176" i="3"/>
  <c r="J197" i="3"/>
  <c r="J218" i="3"/>
  <c r="J134" i="3"/>
  <c r="J225" i="3"/>
  <c r="J142" i="3"/>
  <c r="J229" i="3"/>
  <c r="J150" i="3"/>
  <c r="J230" i="3"/>
  <c r="J158" i="3"/>
  <c r="J39" i="3"/>
  <c r="J55" i="3"/>
  <c r="J71" i="3"/>
  <c r="J87" i="3"/>
  <c r="J103" i="3"/>
  <c r="J119" i="3"/>
  <c r="J135" i="3"/>
  <c r="J151" i="3"/>
  <c r="O35" i="3" s="1"/>
  <c r="J167" i="3"/>
  <c r="J183" i="3"/>
  <c r="J199" i="3"/>
  <c r="J215" i="3"/>
  <c r="J231" i="3"/>
  <c r="J44" i="3"/>
  <c r="J60" i="3"/>
  <c r="J76" i="3"/>
  <c r="J92" i="3"/>
  <c r="J108" i="3"/>
  <c r="J124" i="3"/>
  <c r="J140" i="3"/>
  <c r="J156" i="3"/>
  <c r="J41" i="3"/>
  <c r="J73" i="3"/>
  <c r="J105" i="3"/>
  <c r="J137" i="3"/>
  <c r="J168" i="3"/>
  <c r="J189" i="3"/>
  <c r="J210" i="3"/>
  <c r="J34" i="3"/>
  <c r="J66" i="3"/>
  <c r="J98" i="3"/>
  <c r="J130" i="3"/>
  <c r="J162" i="3"/>
  <c r="J185" i="3"/>
  <c r="J206" i="3"/>
  <c r="J228" i="3"/>
  <c r="J61" i="3"/>
  <c r="J93" i="3"/>
  <c r="J125" i="3"/>
  <c r="J157" i="3"/>
  <c r="J181" i="3"/>
  <c r="J202" i="3"/>
  <c r="J38" i="3"/>
  <c r="J166" i="3"/>
  <c r="J46" i="3"/>
  <c r="J172" i="3"/>
  <c r="J54" i="3"/>
  <c r="J177" i="3"/>
  <c r="J62" i="3"/>
  <c r="J182" i="3"/>
  <c r="I31" i="2" a="1"/>
  <c r="H32" i="1"/>
  <c r="I31" i="1" s="1" a="1"/>
  <c r="O34" i="3" l="1"/>
  <c r="O33" i="3"/>
  <c r="I230" i="2"/>
  <c r="I226" i="2"/>
  <c r="I222" i="2"/>
  <c r="I218" i="2"/>
  <c r="I214" i="2"/>
  <c r="I210" i="2"/>
  <c r="I206" i="2"/>
  <c r="I202" i="2"/>
  <c r="I198" i="2"/>
  <c r="I194" i="2"/>
  <c r="I190" i="2"/>
  <c r="I186" i="2"/>
  <c r="I182" i="2"/>
  <c r="I178" i="2"/>
  <c r="I174" i="2"/>
  <c r="I170" i="2"/>
  <c r="I166" i="2"/>
  <c r="I162" i="2"/>
  <c r="I158" i="2"/>
  <c r="I154" i="2"/>
  <c r="I150" i="2"/>
  <c r="I146" i="2"/>
  <c r="I142" i="2"/>
  <c r="I138" i="2"/>
  <c r="I134" i="2"/>
  <c r="I130" i="2"/>
  <c r="I126" i="2"/>
  <c r="I122" i="2"/>
  <c r="I118" i="2"/>
  <c r="I114" i="2"/>
  <c r="I110" i="2"/>
  <c r="I106" i="2"/>
  <c r="I102" i="2"/>
  <c r="I98" i="2"/>
  <c r="I94" i="2"/>
  <c r="I90" i="2"/>
  <c r="I86" i="2"/>
  <c r="I82" i="2"/>
  <c r="I78" i="2"/>
  <c r="I74" i="2"/>
  <c r="I70" i="2"/>
  <c r="I66" i="2"/>
  <c r="I62" i="2"/>
  <c r="I58" i="2"/>
  <c r="I54" i="2"/>
  <c r="I50" i="2"/>
  <c r="I46" i="2"/>
  <c r="I42" i="2"/>
  <c r="I38" i="2"/>
  <c r="I34" i="2"/>
  <c r="I229" i="2"/>
  <c r="I225" i="2"/>
  <c r="I221" i="2"/>
  <c r="I217" i="2"/>
  <c r="I213" i="2"/>
  <c r="I209" i="2"/>
  <c r="I205" i="2"/>
  <c r="I201" i="2"/>
  <c r="I197" i="2"/>
  <c r="I193" i="2"/>
  <c r="I189" i="2"/>
  <c r="I185" i="2"/>
  <c r="I181" i="2"/>
  <c r="I228" i="2"/>
  <c r="I224" i="2"/>
  <c r="I220" i="2"/>
  <c r="I216" i="2"/>
  <c r="I212" i="2"/>
  <c r="I208" i="2"/>
  <c r="I204" i="2"/>
  <c r="I200" i="2"/>
  <c r="I196" i="2"/>
  <c r="I192" i="2"/>
  <c r="I188" i="2"/>
  <c r="I184" i="2"/>
  <c r="I180" i="2"/>
  <c r="I176" i="2"/>
  <c r="I172" i="2"/>
  <c r="I168" i="2"/>
  <c r="I164" i="2"/>
  <c r="I160" i="2"/>
  <c r="I156" i="2"/>
  <c r="I152" i="2"/>
  <c r="I148" i="2"/>
  <c r="I144" i="2"/>
  <c r="I140" i="2"/>
  <c r="I136" i="2"/>
  <c r="I132" i="2"/>
  <c r="I128" i="2"/>
  <c r="I124" i="2"/>
  <c r="I120" i="2"/>
  <c r="I116" i="2"/>
  <c r="I112" i="2"/>
  <c r="I108" i="2"/>
  <c r="I104" i="2"/>
  <c r="I100" i="2"/>
  <c r="I96" i="2"/>
  <c r="I92" i="2"/>
  <c r="I88" i="2"/>
  <c r="I84" i="2"/>
  <c r="I80" i="2"/>
  <c r="I76" i="2"/>
  <c r="I72" i="2"/>
  <c r="I68" i="2"/>
  <c r="I64" i="2"/>
  <c r="I60" i="2"/>
  <c r="I56" i="2"/>
  <c r="I52" i="2"/>
  <c r="I48" i="2"/>
  <c r="I44" i="2"/>
  <c r="I40" i="2"/>
  <c r="I36" i="2"/>
  <c r="I32" i="2"/>
  <c r="R39" i="2" s="1"/>
  <c r="I231" i="2"/>
  <c r="I227" i="2"/>
  <c r="I223" i="2"/>
  <c r="I219" i="2"/>
  <c r="I215" i="2"/>
  <c r="I211" i="2"/>
  <c r="I207" i="2"/>
  <c r="I203" i="2"/>
  <c r="I199" i="2"/>
  <c r="I195" i="2"/>
  <c r="I191" i="2"/>
  <c r="I187" i="2"/>
  <c r="I183" i="2"/>
  <c r="I179" i="2"/>
  <c r="I175" i="2"/>
  <c r="I171" i="2"/>
  <c r="I167" i="2"/>
  <c r="I163" i="2"/>
  <c r="I159" i="2"/>
  <c r="I155" i="2"/>
  <c r="I151" i="2"/>
  <c r="I147" i="2"/>
  <c r="I143" i="2"/>
  <c r="I139" i="2"/>
  <c r="I135" i="2"/>
  <c r="I131" i="2"/>
  <c r="I127" i="2"/>
  <c r="I123" i="2"/>
  <c r="I119" i="2"/>
  <c r="I115" i="2"/>
  <c r="I111" i="2"/>
  <c r="I107" i="2"/>
  <c r="I103" i="2"/>
  <c r="I99" i="2"/>
  <c r="I95" i="2"/>
  <c r="I91" i="2"/>
  <c r="I87" i="2"/>
  <c r="I83" i="2"/>
  <c r="I79" i="2"/>
  <c r="I75" i="2"/>
  <c r="I71" i="2"/>
  <c r="I67" i="2"/>
  <c r="I63" i="2"/>
  <c r="I59" i="2"/>
  <c r="I55" i="2"/>
  <c r="I51" i="2"/>
  <c r="I47" i="2"/>
  <c r="I43" i="2"/>
  <c r="I39" i="2"/>
  <c r="I35" i="2"/>
  <c r="I31" i="2"/>
  <c r="I169" i="2"/>
  <c r="I153" i="2"/>
  <c r="I137" i="2"/>
  <c r="I121" i="2"/>
  <c r="I105" i="2"/>
  <c r="I89" i="2"/>
  <c r="I73" i="2"/>
  <c r="I57" i="2"/>
  <c r="I41" i="2"/>
  <c r="I161" i="2"/>
  <c r="I129" i="2"/>
  <c r="I113" i="2"/>
  <c r="I81" i="2"/>
  <c r="I49" i="2"/>
  <c r="I157" i="2"/>
  <c r="I125" i="2"/>
  <c r="I93" i="2"/>
  <c r="I45" i="2"/>
  <c r="I165" i="2"/>
  <c r="I149" i="2"/>
  <c r="I133" i="2"/>
  <c r="I117" i="2"/>
  <c r="I101" i="2"/>
  <c r="I85" i="2"/>
  <c r="I69" i="2"/>
  <c r="I53" i="2"/>
  <c r="I37" i="2"/>
  <c r="I177" i="2"/>
  <c r="I145" i="2"/>
  <c r="I97" i="2"/>
  <c r="I65" i="2"/>
  <c r="I33" i="2"/>
  <c r="I173" i="2"/>
  <c r="I141" i="2"/>
  <c r="I109" i="2"/>
  <c r="I77" i="2"/>
  <c r="I61" i="2"/>
  <c r="I31" i="1"/>
  <c r="I62" i="1"/>
  <c r="I94" i="1"/>
  <c r="I126" i="1"/>
  <c r="I158" i="1"/>
  <c r="I183" i="1"/>
  <c r="I205" i="1"/>
  <c r="I225" i="1"/>
  <c r="I54" i="1"/>
  <c r="I221" i="1"/>
  <c r="I38" i="1"/>
  <c r="I70" i="1"/>
  <c r="I102" i="1"/>
  <c r="I134" i="1"/>
  <c r="I166" i="1"/>
  <c r="I189" i="1"/>
  <c r="I210" i="1"/>
  <c r="I226" i="1"/>
  <c r="I46" i="1"/>
  <c r="I78" i="1"/>
  <c r="I110" i="1"/>
  <c r="I142" i="1"/>
  <c r="I173" i="1"/>
  <c r="I194" i="1"/>
  <c r="I215" i="1"/>
  <c r="I230" i="1"/>
  <c r="I86" i="1"/>
  <c r="I118" i="1"/>
  <c r="I150" i="1"/>
  <c r="I178" i="1"/>
  <c r="I199" i="1"/>
  <c r="I231" i="1"/>
  <c r="I203" i="1"/>
  <c r="I182" i="1"/>
  <c r="I155" i="1"/>
  <c r="I123" i="1"/>
  <c r="I91" i="1"/>
  <c r="I59" i="1"/>
  <c r="I229" i="1"/>
  <c r="I207" i="1"/>
  <c r="I186" i="1"/>
  <c r="I162" i="1"/>
  <c r="I130" i="1"/>
  <c r="I98" i="1"/>
  <c r="I66" i="1"/>
  <c r="I34" i="1"/>
  <c r="I211" i="1"/>
  <c r="I190" i="1"/>
  <c r="I167" i="1"/>
  <c r="I135" i="1"/>
  <c r="I103" i="1"/>
  <c r="I71" i="1"/>
  <c r="I39" i="1"/>
  <c r="I44" i="1"/>
  <c r="I60" i="1"/>
  <c r="I76" i="1"/>
  <c r="I92" i="1"/>
  <c r="I108" i="1"/>
  <c r="I124" i="1"/>
  <c r="I140" i="1"/>
  <c r="I156" i="1"/>
  <c r="I172" i="1"/>
  <c r="I188" i="1"/>
  <c r="I204" i="1"/>
  <c r="I220" i="1"/>
  <c r="I37" i="1"/>
  <c r="I53" i="1"/>
  <c r="I69" i="1"/>
  <c r="I85" i="1"/>
  <c r="I101" i="1"/>
  <c r="I117" i="1"/>
  <c r="I133" i="1"/>
  <c r="I149" i="1"/>
  <c r="I165" i="1"/>
  <c r="I219" i="1"/>
  <c r="I198" i="1"/>
  <c r="I177" i="1"/>
  <c r="I147" i="1"/>
  <c r="I115" i="1"/>
  <c r="I83" i="1"/>
  <c r="I51" i="1"/>
  <c r="I223" i="1"/>
  <c r="I202" i="1"/>
  <c r="I181" i="1"/>
  <c r="I154" i="1"/>
  <c r="I122" i="1"/>
  <c r="I90" i="1"/>
  <c r="I58" i="1"/>
  <c r="I227" i="1"/>
  <c r="I206" i="1"/>
  <c r="I185" i="1"/>
  <c r="I159" i="1"/>
  <c r="I127" i="1"/>
  <c r="I95" i="1"/>
  <c r="I63" i="1"/>
  <c r="I32" i="1"/>
  <c r="I48" i="1"/>
  <c r="I64" i="1"/>
  <c r="I80" i="1"/>
  <c r="I96" i="1"/>
  <c r="I112" i="1"/>
  <c r="I128" i="1"/>
  <c r="I144" i="1"/>
  <c r="I160" i="1"/>
  <c r="I176" i="1"/>
  <c r="I192" i="1"/>
  <c r="I208" i="1"/>
  <c r="I224" i="1"/>
  <c r="I41" i="1"/>
  <c r="I57" i="1"/>
  <c r="I73" i="1"/>
  <c r="I89" i="1"/>
  <c r="I105" i="1"/>
  <c r="I121" i="1"/>
  <c r="I137" i="1"/>
  <c r="I153" i="1"/>
  <c r="I169" i="1"/>
  <c r="I145" i="1"/>
  <c r="I113" i="1"/>
  <c r="I81" i="1"/>
  <c r="I49" i="1"/>
  <c r="I216" i="1"/>
  <c r="I184" i="1"/>
  <c r="I152" i="1"/>
  <c r="I120" i="1"/>
  <c r="I88" i="1"/>
  <c r="I56" i="1"/>
  <c r="I47" i="1"/>
  <c r="I111" i="1"/>
  <c r="I174" i="1"/>
  <c r="I217" i="1"/>
  <c r="I74" i="1"/>
  <c r="I138" i="1"/>
  <c r="I191" i="1"/>
  <c r="I35" i="1"/>
  <c r="I99" i="1"/>
  <c r="I163" i="1"/>
  <c r="I209" i="1"/>
  <c r="I141" i="1"/>
  <c r="I109" i="1"/>
  <c r="I77" i="1"/>
  <c r="I45" i="1"/>
  <c r="I212" i="1"/>
  <c r="I180" i="1"/>
  <c r="I148" i="1"/>
  <c r="I116" i="1"/>
  <c r="I84" i="1"/>
  <c r="I52" i="1"/>
  <c r="I55" i="1"/>
  <c r="I119" i="1"/>
  <c r="I179" i="1"/>
  <c r="I222" i="1"/>
  <c r="I82" i="1"/>
  <c r="I146" i="1"/>
  <c r="I197" i="1"/>
  <c r="I43" i="1"/>
  <c r="I107" i="1"/>
  <c r="I171" i="1"/>
  <c r="I214" i="1"/>
  <c r="I161" i="1"/>
  <c r="I129" i="1"/>
  <c r="I97" i="1"/>
  <c r="I65" i="1"/>
  <c r="I33" i="1"/>
  <c r="I200" i="1"/>
  <c r="I168" i="1"/>
  <c r="I136" i="1"/>
  <c r="I104" i="1"/>
  <c r="I72" i="1"/>
  <c r="I40" i="1"/>
  <c r="I79" i="1"/>
  <c r="I143" i="1"/>
  <c r="I195" i="1"/>
  <c r="I42" i="1"/>
  <c r="I106" i="1"/>
  <c r="I170" i="1"/>
  <c r="I213" i="1"/>
  <c r="I67" i="1"/>
  <c r="I131" i="1"/>
  <c r="I187" i="1"/>
  <c r="I157" i="1"/>
  <c r="I125" i="1"/>
  <c r="I93" i="1"/>
  <c r="I61" i="1"/>
  <c r="I228" i="1"/>
  <c r="I196" i="1"/>
  <c r="I164" i="1"/>
  <c r="I132" i="1"/>
  <c r="I100" i="1"/>
  <c r="I68" i="1"/>
  <c r="I36" i="1"/>
  <c r="I87" i="1"/>
  <c r="I151" i="1"/>
  <c r="I201" i="1"/>
  <c r="I50" i="1"/>
  <c r="I114" i="1"/>
  <c r="I175" i="1"/>
  <c r="I218" i="1"/>
  <c r="I75" i="1"/>
  <c r="I139" i="1"/>
  <c r="I193" i="1"/>
  <c r="R42" i="2" l="1"/>
  <c r="R40" i="2"/>
  <c r="R41" i="2"/>
  <c r="O30" i="3"/>
  <c r="R37" i="2" l="1"/>
</calcChain>
</file>

<file path=xl/sharedStrings.xml><?xml version="1.0" encoding="utf-8"?>
<sst xmlns="http://schemas.openxmlformats.org/spreadsheetml/2006/main" count="52" uniqueCount="26">
  <si>
    <t>lambda</t>
  </si>
  <si>
    <t>tau</t>
  </si>
  <si>
    <t>Factor 1</t>
  </si>
  <si>
    <t>Factor 2</t>
  </si>
  <si>
    <t>Factor 3</t>
  </si>
  <si>
    <t>Level</t>
  </si>
  <si>
    <t>Slope</t>
  </si>
  <si>
    <t>Curvature</t>
  </si>
  <si>
    <t>Yield</t>
  </si>
  <si>
    <t>Maturity</t>
  </si>
  <si>
    <t>Data</t>
  </si>
  <si>
    <t>Data Yield</t>
  </si>
  <si>
    <t>Model Yield</t>
  </si>
  <si>
    <t>Manual</t>
  </si>
  <si>
    <t>Manual Yield</t>
  </si>
  <si>
    <t>SSQ</t>
  </si>
  <si>
    <t>gamma</t>
  </si>
  <si>
    <t>Factor 4</t>
  </si>
  <si>
    <t>alpha</t>
  </si>
  <si>
    <t>Level (L)</t>
  </si>
  <si>
    <t>Slope (S)</t>
  </si>
  <si>
    <t>Curvature (C)</t>
  </si>
  <si>
    <t>3-month and 10-year yields.</t>
  </si>
  <si>
    <r>
      <t>Diebold &amp; Li (2006) Table 1, page 345: We define the</t>
    </r>
    <r>
      <rPr>
        <b/>
        <sz val="11"/>
        <color theme="1"/>
        <rFont val="Calibri"/>
        <family val="2"/>
      </rPr>
      <t xml:space="preserve"> level</t>
    </r>
    <r>
      <rPr>
        <sz val="11"/>
        <color theme="1"/>
        <rFont val="Calibri"/>
        <family val="2"/>
      </rPr>
      <t xml:space="preserve"> as the 10-year yield, the </t>
    </r>
    <r>
      <rPr>
        <b/>
        <sz val="11"/>
        <color theme="1"/>
        <rFont val="Calibri"/>
        <family val="2"/>
      </rPr>
      <t>slope</t>
    </r>
    <r>
      <rPr>
        <sz val="11"/>
        <color theme="1"/>
        <rFont val="Calibri"/>
        <family val="2"/>
      </rPr>
      <t xml:space="preserve"> as the difference </t>
    </r>
  </si>
  <si>
    <r>
      <t xml:space="preserve">between the 10-year and 3-month yields, and the </t>
    </r>
    <r>
      <rPr>
        <b/>
        <sz val="11"/>
        <color theme="1"/>
        <rFont val="Calibri"/>
        <family val="2"/>
      </rPr>
      <t>curvature</t>
    </r>
    <r>
      <rPr>
        <sz val="11"/>
        <color theme="1"/>
        <rFont val="Calibri"/>
        <family val="2"/>
      </rPr>
      <t xml:space="preserve"> as the twice the 2-year yield minus the sum of the</t>
    </r>
  </si>
  <si>
    <t>Data for May 20,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</si>
</sst>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00000"/>
    <numFmt numFmtId="167" formatCode="0.00000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B9"/>
        <bgColor indexed="64"/>
      </patternFill>
    </fill>
    <fill>
      <patternFill patternType="solid">
        <fgColor rgb="FFD8EE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  <xf numFmtId="165" fontId="2" fillId="0" borderId="0" xfId="0" applyNumberFormat="1" applyFont="1"/>
    <xf numFmtId="0" fontId="0" fillId="2" borderId="2" xfId="0" applyFill="1" applyBorder="1"/>
    <xf numFmtId="0" fontId="0" fillId="3" borderId="2" xfId="0" applyFill="1" applyBorder="1"/>
    <xf numFmtId="0" fontId="0" fillId="3" borderId="1" xfId="0" applyFill="1" applyBorder="1"/>
    <xf numFmtId="165" fontId="0" fillId="3" borderId="4" xfId="0" applyNumberFormat="1" applyFill="1" applyBorder="1"/>
    <xf numFmtId="165" fontId="0" fillId="3" borderId="5" xfId="0" applyNumberFormat="1" applyFill="1" applyBorder="1"/>
    <xf numFmtId="165" fontId="0" fillId="3" borderId="6" xfId="0" applyNumberFormat="1" applyFill="1" applyBorder="1"/>
    <xf numFmtId="167" fontId="0" fillId="2" borderId="3" xfId="0" applyNumberForma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EEC0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'Nelson-Siegel Curve'!$F$30</c:f>
              <c:strCache>
                <c:ptCount val="1"/>
                <c:pt idx="0">
                  <c:v>Factor 1</c:v>
                </c:pt>
              </c:strCache>
            </c:strRef>
          </c:tx>
          <c:marker>
            <c:symbol val="none"/>
          </c:marker>
          <c:xVal>
            <c:numRef>
              <c:f>'Nelson-Siegel Curve'!$E$31:$E$231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'Nelson-Siegel Curve'!$F$31:$F$231</c:f>
              <c:numCache>
                <c:formatCode>General</c:formatCode>
                <c:ptCount val="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1-4BF4-A83B-EB84BA25361E}"/>
            </c:ext>
          </c:extLst>
        </c:ser>
        <c:ser>
          <c:idx val="1"/>
          <c:order val="1"/>
          <c:tx>
            <c:strRef>
              <c:f>'Nelson-Siegel Curve'!$G$30</c:f>
              <c:strCache>
                <c:ptCount val="1"/>
                <c:pt idx="0">
                  <c:v>Factor 2</c:v>
                </c:pt>
              </c:strCache>
            </c:strRef>
          </c:tx>
          <c:marker>
            <c:symbol val="none"/>
          </c:marker>
          <c:xVal>
            <c:numRef>
              <c:f>'Nelson-Siegel Curve'!$E$31:$E$231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'Nelson-Siegel Curve'!$G$31:$G$231</c:f>
              <c:numCache>
                <c:formatCode>0.000000</c:formatCode>
                <c:ptCount val="201"/>
                <c:pt idx="0" formatCode="General">
                  <c:v>1</c:v>
                </c:pt>
                <c:pt idx="1">
                  <c:v>0.99242598683560967</c:v>
                </c:pt>
                <c:pt idx="2">
                  <c:v>0.98492836448983156</c:v>
                </c:pt>
                <c:pt idx="3">
                  <c:v>0.97750626662189832</c:v>
                </c:pt>
                <c:pt idx="4">
                  <c:v>0.97015883736846753</c:v>
                </c:pt>
                <c:pt idx="5">
                  <c:v>0.96288523121166147</c:v>
                </c:pt>
                <c:pt idx="6">
                  <c:v>0.95568461284880013</c:v>
                </c:pt>
                <c:pt idx="7">
                  <c:v>0.94855615706381924</c:v>
                </c:pt>
                <c:pt idx="8">
                  <c:v>0.94149904860036782</c:v>
                </c:pt>
                <c:pt idx="9">
                  <c:v>0.93451248203652904</c:v>
                </c:pt>
                <c:pt idx="10">
                  <c:v>0.92759566166118101</c:v>
                </c:pt>
                <c:pt idx="11">
                  <c:v>0.9207478013519409</c:v>
                </c:pt>
                <c:pt idx="12">
                  <c:v>0.913968124454697</c:v>
                </c:pt>
                <c:pt idx="13">
                  <c:v>0.90725586366470024</c:v>
                </c:pt>
                <c:pt idx="14">
                  <c:v>0.90061026090918173</c:v>
                </c:pt>
                <c:pt idx="15">
                  <c:v>0.89403056723150121</c:v>
                </c:pt>
                <c:pt idx="16">
                  <c:v>0.88751604267677975</c:v>
                </c:pt>
                <c:pt idx="17">
                  <c:v>0.88106595617901806</c:v>
                </c:pt>
                <c:pt idx="18">
                  <c:v>0.87467958544966873</c:v>
                </c:pt>
                <c:pt idx="19">
                  <c:v>0.86835621686764619</c:v>
                </c:pt>
                <c:pt idx="20">
                  <c:v>0.8620951453707586</c:v>
                </c:pt>
                <c:pt idx="21">
                  <c:v>0.85589567434853764</c:v>
                </c:pt>
                <c:pt idx="22">
                  <c:v>0.84975711553645306</c:v>
                </c:pt>
                <c:pt idx="23">
                  <c:v>0.84367878891148829</c:v>
                </c:pt>
                <c:pt idx="24">
                  <c:v>0.8376600225890648</c:v>
                </c:pt>
                <c:pt idx="25">
                  <c:v>0.83170015272129383</c:v>
                </c:pt>
                <c:pt idx="26">
                  <c:v>0.82579852339653659</c:v>
                </c:pt>
                <c:pt idx="27">
                  <c:v>0.81995448654026293</c:v>
                </c:pt>
                <c:pt idx="28">
                  <c:v>0.8141674018171805</c:v>
                </c:pt>
                <c:pt idx="29">
                  <c:v>0.80843663653462894</c:v>
                </c:pt>
                <c:pt idx="30">
                  <c:v>0.80276156554721367</c:v>
                </c:pt>
                <c:pt idx="31">
                  <c:v>0.79714157116266837</c:v>
                </c:pt>
                <c:pt idx="32">
                  <c:v>0.79157604304892604</c:v>
                </c:pt>
                <c:pt idx="33">
                  <c:v>0.7860643781423875</c:v>
                </c:pt>
                <c:pt idx="34">
                  <c:v>0.78060598055736741</c:v>
                </c:pt>
                <c:pt idx="35">
                  <c:v>0.77520026149670207</c:v>
                </c:pt>
                <c:pt idx="36">
                  <c:v>0.76984663916350926</c:v>
                </c:pt>
                <c:pt idx="37">
                  <c:v>0.76454453867407823</c:v>
                </c:pt>
                <c:pt idx="38">
                  <c:v>0.75929339197187873</c:v>
                </c:pt>
                <c:pt idx="39">
                  <c:v>0.75409263774267388</c:v>
                </c:pt>
                <c:pt idx="40">
                  <c:v>0.74894172133072268</c:v>
                </c:pt>
                <c:pt idx="41">
                  <c:v>0.74384009465605472</c:v>
                </c:pt>
                <c:pt idx="42">
                  <c:v>0.73878721613280973</c:v>
                </c:pt>
                <c:pt idx="43">
                  <c:v>0.7337825505886203</c:v>
                </c:pt>
                <c:pt idx="44">
                  <c:v>0.72882556918502872</c:v>
                </c:pt>
                <c:pt idx="45">
                  <c:v>0.72391574933892433</c:v>
                </c:pt>
                <c:pt idx="46">
                  <c:v>0.71905257464498595</c:v>
                </c:pt>
                <c:pt idx="47">
                  <c:v>0.71423553479911706</c:v>
                </c:pt>
                <c:pt idx="48">
                  <c:v>0.70946412552286198</c:v>
                </c:pt>
                <c:pt idx="49">
                  <c:v>0.70473784848878851</c:v>
                </c:pt>
                <c:pt idx="50">
                  <c:v>0.70005621124682393</c:v>
                </c:pt>
                <c:pt idx="51">
                  <c:v>0.6954187271515353</c:v>
                </c:pt>
                <c:pt idx="52">
                  <c:v>0.69082491529033763</c:v>
                </c:pt>
                <c:pt idx="53">
                  <c:v>0.68627430041261961</c:v>
                </c:pt>
                <c:pt idx="54">
                  <c:v>0.68176641285977546</c:v>
                </c:pt>
                <c:pt idx="55">
                  <c:v>0.67730078849612929</c:v>
                </c:pt>
                <c:pt idx="56">
                  <c:v>0.67287696864074287</c:v>
                </c:pt>
                <c:pt idx="57">
                  <c:v>0.66849450000009292</c:v>
                </c:pt>
                <c:pt idx="58">
                  <c:v>0.66415293460160596</c:v>
                </c:pt>
                <c:pt idx="59">
                  <c:v>0.65985182972804457</c:v>
                </c:pt>
                <c:pt idx="60">
                  <c:v>0.65559074785272631</c:v>
                </c:pt>
                <c:pt idx="61">
                  <c:v>0.65136925657557099</c:v>
                </c:pt>
                <c:pt idx="62">
                  <c:v>0.64718692855996196</c:v>
                </c:pt>
                <c:pt idx="63">
                  <c:v>0.64304334147041198</c:v>
                </c:pt>
                <c:pt idx="64">
                  <c:v>0.63893807791102275</c:v>
                </c:pt>
                <c:pt idx="65">
                  <c:v>0.63487072536472788</c:v>
                </c:pt>
                <c:pt idx="66">
                  <c:v>0.63084087613330941</c:v>
                </c:pt>
                <c:pt idx="67">
                  <c:v>0.6268481272781774</c:v>
                </c:pt>
                <c:pt idx="68">
                  <c:v>0.62289208056190204</c:v>
                </c:pt>
                <c:pt idx="69">
                  <c:v>0.61897234239049082</c:v>
                </c:pt>
                <c:pt idx="70">
                  <c:v>0.61508852375639711</c:v>
                </c:pt>
                <c:pt idx="71">
                  <c:v>0.61124024018225509</c:v>
                </c:pt>
                <c:pt idx="72">
                  <c:v>0.6074271116653277</c:v>
                </c:pt>
                <c:pt idx="73">
                  <c:v>0.60364876262266121</c:v>
                </c:pt>
                <c:pt idx="74">
                  <c:v>0.59990482183693539</c:v>
                </c:pt>
                <c:pt idx="75">
                  <c:v>0.59619492240300065</c:v>
                </c:pt>
                <c:pt idx="76">
                  <c:v>0.5925187016750938</c:v>
                </c:pt>
                <c:pt idx="77">
                  <c:v>0.58887580121472327</c:v>
                </c:pt>
                <c:pt idx="78">
                  <c:v>0.58526586673921455</c:v>
                </c:pt>
                <c:pt idx="79">
                  <c:v>0.58168854807090797</c:v>
                </c:pt>
                <c:pt idx="80">
                  <c:v>0.57814349908700069</c:v>
                </c:pt>
                <c:pt idx="81">
                  <c:v>0.57463037767002223</c:v>
                </c:pt>
                <c:pt idx="82">
                  <c:v>0.57114884565893909</c:v>
                </c:pt>
                <c:pt idx="83">
                  <c:v>0.56769856880087655</c:v>
                </c:pt>
                <c:pt idx="84">
                  <c:v>0.56427921670345271</c:v>
                </c:pt>
                <c:pt idx="85">
                  <c:v>0.5608904627877136</c:v>
                </c:pt>
                <c:pt idx="86">
                  <c:v>0.55753198424166517</c:v>
                </c:pt>
                <c:pt idx="87">
                  <c:v>0.55420346197439152</c:v>
                </c:pt>
                <c:pt idx="88">
                  <c:v>0.55090458057075342</c:v>
                </c:pt>
                <c:pt idx="89">
                  <c:v>0.54763502824665788</c:v>
                </c:pt>
                <c:pt idx="90">
                  <c:v>0.54439449680489482</c:v>
                </c:pt>
                <c:pt idx="91">
                  <c:v>0.54118268159152783</c:v>
                </c:pt>
                <c:pt idx="92">
                  <c:v>0.5379992814528386</c:v>
                </c:pt>
                <c:pt idx="93">
                  <c:v>0.53484399869281229</c:v>
                </c:pt>
                <c:pt idx="94">
                  <c:v>0.53171653903115901</c:v>
                </c:pt>
                <c:pt idx="95">
                  <c:v>0.52861661156186601</c:v>
                </c:pt>
                <c:pt idx="96">
                  <c:v>0.52554392871226996</c:v>
                </c:pt>
                <c:pt idx="97">
                  <c:v>0.52249820620264631</c:v>
                </c:pt>
                <c:pt idx="98">
                  <c:v>0.51947916300630748</c:v>
                </c:pt>
                <c:pt idx="99">
                  <c:v>0.5164865213102019</c:v>
                </c:pt>
                <c:pt idx="100">
                  <c:v>0.51352000647601015</c:v>
                </c:pt>
                <c:pt idx="101">
                  <c:v>0.51057934700173013</c:v>
                </c:pt>
                <c:pt idx="102">
                  <c:v>0.50766427448374507</c:v>
                </c:pt>
                <c:pt idx="103">
                  <c:v>0.50477452357936814</c:v>
                </c:pt>
                <c:pt idx="104">
                  <c:v>0.50190983196985828</c:v>
                </c:pt>
                <c:pt idx="105">
                  <c:v>0.49906994032389984</c:v>
                </c:pt>
                <c:pt idx="106">
                  <c:v>0.49625459226154134</c:v>
                </c:pt>
                <c:pt idx="107">
                  <c:v>0.49346353431858664</c:v>
                </c:pt>
                <c:pt idx="108">
                  <c:v>0.49069651591143276</c:v>
                </c:pt>
                <c:pt idx="109">
                  <c:v>0.48795328930234905</c:v>
                </c:pt>
                <c:pt idx="110">
                  <c:v>0.48523360956519118</c:v>
                </c:pt>
                <c:pt idx="111">
                  <c:v>0.48253723455154546</c:v>
                </c:pt>
                <c:pt idx="112">
                  <c:v>0.47986392485729662</c:v>
                </c:pt>
                <c:pt idx="113">
                  <c:v>0.477213443789615</c:v>
                </c:pt>
                <c:pt idx="114">
                  <c:v>0.47458555733435681</c:v>
                </c:pt>
                <c:pt idx="115">
                  <c:v>0.47198003412387207</c:v>
                </c:pt>
                <c:pt idx="116">
                  <c:v>0.46939664540521553</c:v>
                </c:pt>
                <c:pt idx="117">
                  <c:v>0.46683516500875538</c:v>
                </c:pt>
                <c:pt idx="118">
                  <c:v>0.46429536931717386</c:v>
                </c:pt>
                <c:pt idx="119">
                  <c:v>0.46177703723485591</c:v>
                </c:pt>
                <c:pt idx="120">
                  <c:v>0.45927995015765954</c:v>
                </c:pt>
                <c:pt idx="121">
                  <c:v>0.45680389194306398</c:v>
                </c:pt>
                <c:pt idx="122">
                  <c:v>0.45434864888069093</c:v>
                </c:pt>
                <c:pt idx="123">
                  <c:v>0.45191400966319267</c:v>
                </c:pt>
                <c:pt idx="124">
                  <c:v>0.44949976535750436</c:v>
                </c:pt>
                <c:pt idx="125">
                  <c:v>0.44710570937645372</c:v>
                </c:pt>
                <c:pt idx="126">
                  <c:v>0.44473163745072558</c:v>
                </c:pt>
                <c:pt idx="127">
                  <c:v>0.44237734760117514</c:v>
                </c:pt>
                <c:pt idx="128">
                  <c:v>0.44004264011148592</c:v>
                </c:pt>
                <c:pt idx="129">
                  <c:v>0.43772731750116889</c:v>
                </c:pt>
                <c:pt idx="130">
                  <c:v>0.43543118449889662</c:v>
                </c:pt>
                <c:pt idx="131">
                  <c:v>0.43315404801617008</c:v>
                </c:pt>
                <c:pt idx="132">
                  <c:v>0.43089571712131214</c:v>
                </c:pt>
                <c:pt idx="133">
                  <c:v>0.42865600301378509</c:v>
                </c:pt>
                <c:pt idx="134">
                  <c:v>0.42643471899882657</c:v>
                </c:pt>
                <c:pt idx="135">
                  <c:v>0.42423168046240112</c:v>
                </c:pt>
                <c:pt idx="136">
                  <c:v>0.42204670484646262</c:v>
                </c:pt>
                <c:pt idx="137">
                  <c:v>0.41987961162452336</c:v>
                </c:pt>
                <c:pt idx="138">
                  <c:v>0.41773022227752687</c:v>
                </c:pt>
                <c:pt idx="139">
                  <c:v>0.4155983602700194</c:v>
                </c:pt>
                <c:pt idx="140">
                  <c:v>0.41348385102661706</c:v>
                </c:pt>
                <c:pt idx="141">
                  <c:v>0.41138652190876496</c:v>
                </c:pt>
                <c:pt idx="142">
                  <c:v>0.40930620219178337</c:v>
                </c:pt>
                <c:pt idx="143">
                  <c:v>0.40724272304219894</c:v>
                </c:pt>
                <c:pt idx="144">
                  <c:v>0.40519591749535588</c:v>
                </c:pt>
                <c:pt idx="145">
                  <c:v>0.40316562043330484</c:v>
                </c:pt>
                <c:pt idx="146">
                  <c:v>0.40115166856296458</c:v>
                </c:pt>
                <c:pt idx="147">
                  <c:v>0.3991539003945539</c:v>
                </c:pt>
                <c:pt idx="148">
                  <c:v>0.39717215622029034</c:v>
                </c:pt>
                <c:pt idx="149">
                  <c:v>0.39520627809335157</c:v>
                </c:pt>
                <c:pt idx="150">
                  <c:v>0.39325610980709685</c:v>
                </c:pt>
                <c:pt idx="151">
                  <c:v>0.39132149687454509</c:v>
                </c:pt>
                <c:pt idx="152">
                  <c:v>0.38940228650810566</c:v>
                </c:pt>
                <c:pt idx="153">
                  <c:v>0.38749832759955966</c:v>
                </c:pt>
                <c:pt idx="154">
                  <c:v>0.38560947070028773</c:v>
                </c:pt>
                <c:pt idx="155">
                  <c:v>0.3837355680017413</c:v>
                </c:pt>
                <c:pt idx="156">
                  <c:v>0.38187647331615532</c:v>
                </c:pt>
                <c:pt idx="157">
                  <c:v>0.38003204205749713</c:v>
                </c:pt>
                <c:pt idx="158">
                  <c:v>0.37820213122265073</c:v>
                </c:pt>
                <c:pt idx="159">
                  <c:v>0.37638659937283253</c:v>
                </c:pt>
                <c:pt idx="160">
                  <c:v>0.3745853066152352</c:v>
                </c:pt>
                <c:pt idx="161">
                  <c:v>0.37279811458489731</c:v>
                </c:pt>
                <c:pt idx="162">
                  <c:v>0.37102488642679626</c:v>
                </c:pt>
                <c:pt idx="163">
                  <c:v>0.36926548677816018</c:v>
                </c:pt>
                <c:pt idx="164">
                  <c:v>0.36751978175099798</c:v>
                </c:pt>
                <c:pt idx="165">
                  <c:v>0.36578763891484328</c:v>
                </c:pt>
                <c:pt idx="166">
                  <c:v>0.36406892727970991</c:v>
                </c:pt>
                <c:pt idx="167">
                  <c:v>0.3623635172792567</c:v>
                </c:pt>
                <c:pt idx="168">
                  <c:v>0.36067128075415877</c:v>
                </c:pt>
                <c:pt idx="169">
                  <c:v>0.35899209093568207</c:v>
                </c:pt>
                <c:pt idx="170">
                  <c:v>0.35732582242945926</c:v>
                </c:pt>
                <c:pt idx="171">
                  <c:v>0.35567235119946439</c:v>
                </c:pt>
                <c:pt idx="172">
                  <c:v>0.35403155455218355</c:v>
                </c:pt>
                <c:pt idx="173">
                  <c:v>0.35240331112097895</c:v>
                </c:pt>
                <c:pt idx="174">
                  <c:v>0.3507875008506447</c:v>
                </c:pt>
                <c:pt idx="175">
                  <c:v>0.34918400498215024</c:v>
                </c:pt>
                <c:pt idx="176">
                  <c:v>0.34759270603757153</c:v>
                </c:pt>
                <c:pt idx="177">
                  <c:v>0.34601348780520508</c:v>
                </c:pt>
                <c:pt idx="178">
                  <c:v>0.34444623532486451</c:v>
                </c:pt>
                <c:pt idx="179">
                  <c:v>0.3428908348733557</c:v>
                </c:pt>
                <c:pt idx="180">
                  <c:v>0.34134717395012948</c:v>
                </c:pt>
                <c:pt idx="181">
                  <c:v>0.3398151412631093</c:v>
                </c:pt>
                <c:pt idx="182">
                  <c:v>0.33829462671469146</c:v>
                </c:pt>
                <c:pt idx="183">
                  <c:v>0.33678552138791562</c:v>
                </c:pt>
                <c:pt idx="184">
                  <c:v>0.33528771753280384</c:v>
                </c:pt>
                <c:pt idx="185">
                  <c:v>0.33380110855286599</c:v>
                </c:pt>
                <c:pt idx="186">
                  <c:v>0.33232558899176878</c:v>
                </c:pt>
                <c:pt idx="187">
                  <c:v>0.33086105452016762</c:v>
                </c:pt>
                <c:pt idx="188">
                  <c:v>0.32940740192269746</c:v>
                </c:pt>
                <c:pt idx="189">
                  <c:v>0.32796452908512286</c:v>
                </c:pt>
                <c:pt idx="190">
                  <c:v>0.32653233498164291</c:v>
                </c:pt>
                <c:pt idx="191">
                  <c:v>0.32511071966235083</c:v>
                </c:pt>
                <c:pt idx="192">
                  <c:v>0.32369958424084583</c:v>
                </c:pt>
                <c:pt idx="193">
                  <c:v>0.32229883088199451</c:v>
                </c:pt>
                <c:pt idx="194">
                  <c:v>0.3209083627898412</c:v>
                </c:pt>
                <c:pt idx="195">
                  <c:v>0.31952808419566447</c:v>
                </c:pt>
                <c:pt idx="196">
                  <c:v>0.31815790034617814</c:v>
                </c:pt>
                <c:pt idx="197">
                  <c:v>0.31679771749187524</c:v>
                </c:pt>
                <c:pt idx="198">
                  <c:v>0.31544744287551318</c:v>
                </c:pt>
                <c:pt idx="199">
                  <c:v>0.3141069847207375</c:v>
                </c:pt>
                <c:pt idx="200">
                  <c:v>0.31277625222084388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31-4BF4-A83B-EB84BA25361E}"/>
            </c:ext>
          </c:extLst>
        </c:ser>
        <c:ser>
          <c:idx val="2"/>
          <c:order val="2"/>
          <c:tx>
            <c:strRef>
              <c:f>'Nelson-Siegel Curve'!$H$30</c:f>
              <c:strCache>
                <c:ptCount val="1"/>
                <c:pt idx="0">
                  <c:v>Factor 3</c:v>
                </c:pt>
              </c:strCache>
            </c:strRef>
          </c:tx>
          <c:marker>
            <c:symbol val="none"/>
          </c:marker>
          <c:xVal>
            <c:numRef>
              <c:f>'Nelson-Siegel Curve'!$E$31:$E$231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'Nelson-Siegel Curve'!$H$31:$H$231</c:f>
              <c:numCache>
                <c:formatCode>0.000000</c:formatCode>
                <c:ptCount val="201"/>
                <c:pt idx="0" formatCode="General">
                  <c:v>0</c:v>
                </c:pt>
                <c:pt idx="1">
                  <c:v>7.5356724851818324E-3</c:v>
                </c:pt>
                <c:pt idx="2">
                  <c:v>1.4919433188546938E-2</c:v>
                </c:pt>
                <c:pt idx="3">
                  <c:v>2.215386534985353E-2</c:v>
                </c:pt>
                <c:pt idx="4">
                  <c:v>2.9241510564207207E-2</c:v>
                </c:pt>
                <c:pt idx="5">
                  <c:v>3.6184869437649203E-2</c:v>
                </c:pt>
                <c:pt idx="6">
                  <c:v>4.2986402232538024E-2</c:v>
                </c:pt>
                <c:pt idx="7">
                  <c:v>4.9648529502895777E-2</c:v>
                </c:pt>
                <c:pt idx="8">
                  <c:v>5.6173632719892619E-2</c:v>
                </c:pt>
                <c:pt idx="9">
                  <c:v>6.256405488758443E-2</c:v>
                </c:pt>
                <c:pt idx="10">
                  <c:v>6.8822101149095816E-2</c:v>
                </c:pt>
                <c:pt idx="11">
                  <c:v>7.4950039383357203E-2</c:v>
                </c:pt>
                <c:pt idx="12">
                  <c:v>8.0950100792570145E-2</c:v>
                </c:pt>
                <c:pt idx="13">
                  <c:v>8.6824480480536037E-2</c:v>
                </c:pt>
                <c:pt idx="14">
                  <c:v>9.2575338021973819E-2</c:v>
                </c:pt>
                <c:pt idx="15">
                  <c:v>9.820479802299531E-2</c:v>
                </c:pt>
                <c:pt idx="16">
                  <c:v>0.10371495067284331</c:v>
                </c:pt>
                <c:pt idx="17">
                  <c:v>0.10910785228705244</c:v>
                </c:pt>
                <c:pt idx="18">
                  <c:v>0.11438552584215045</c:v>
                </c:pt>
                <c:pt idx="19">
                  <c:v>0.11954996150203456</c:v>
                </c:pt>
                <c:pt idx="20">
                  <c:v>0.12460311713615457</c:v>
                </c:pt>
                <c:pt idx="21">
                  <c:v>0.12954691882962388</c:v>
                </c:pt>
                <c:pt idx="22">
                  <c:v>0.13438326138538803</c:v>
                </c:pt>
                <c:pt idx="23">
                  <c:v>0.13911400881856872</c:v>
                </c:pt>
                <c:pt idx="24">
                  <c:v>0.14374099484310909</c:v>
                </c:pt>
                <c:pt idx="25">
                  <c:v>0.14826602335083627</c:v>
                </c:pt>
                <c:pt idx="26">
                  <c:v>0.15269086888305561</c:v>
                </c:pt>
                <c:pt idx="27">
                  <c:v>0.15701727709480151</c:v>
                </c:pt>
                <c:pt idx="28">
                  <c:v>0.16124696521184456</c:v>
                </c:pt>
                <c:pt idx="29">
                  <c:v>0.16538162248058097</c:v>
                </c:pt>
                <c:pt idx="30">
                  <c:v>0.16942291061090353</c:v>
                </c:pt>
                <c:pt idx="31">
                  <c:v>0.17337246421216879</c:v>
                </c:pt>
                <c:pt idx="32">
                  <c:v>0.17723189122236283</c:v>
                </c:pt>
                <c:pt idx="33">
                  <c:v>0.18100277333057657</c:v>
                </c:pt>
                <c:pt idx="34">
                  <c:v>0.18468666639288867</c:v>
                </c:pt>
                <c:pt idx="35">
                  <c:v>0.1882851008417572</c:v>
                </c:pt>
                <c:pt idx="36">
                  <c:v>0.1917995820890287</c:v>
                </c:pt>
                <c:pt idx="37">
                  <c:v>0.19523159092265341</c:v>
                </c:pt>
                <c:pt idx="38">
                  <c:v>0.19858258389720918</c:v>
                </c:pt>
                <c:pt idx="39">
                  <c:v>0.20185399371833013</c:v>
                </c:pt>
                <c:pt idx="40">
                  <c:v>0.20504722962113275</c:v>
                </c:pt>
                <c:pt idx="41">
                  <c:v>0.20816367774273048</c:v>
                </c:pt>
                <c:pt idx="42">
                  <c:v>0.211204701488935</c:v>
                </c:pt>
                <c:pt idx="43">
                  <c:v>0.21417164189522531</c:v>
                </c:pt>
                <c:pt idx="44">
                  <c:v>0.21706581798207947</c:v>
                </c:pt>
                <c:pt idx="45">
                  <c:v>0.21988852710475482</c:v>
                </c:pt>
                <c:pt idx="46">
                  <c:v>0.22264104529760181</c:v>
                </c:pt>
                <c:pt idx="47">
                  <c:v>0.22532462761299527</c:v>
                </c:pt>
                <c:pt idx="48">
                  <c:v>0.22794050845496955</c:v>
                </c:pt>
                <c:pt idx="49">
                  <c:v>0.23048990190763691</c:v>
                </c:pt>
                <c:pt idx="50">
                  <c:v>0.23297400205846858</c:v>
                </c:pt>
                <c:pt idx="51">
                  <c:v>0.23539398331652372</c:v>
                </c:pt>
                <c:pt idx="52">
                  <c:v>0.23775100072569799</c:v>
                </c:pt>
                <c:pt idx="53">
                  <c:v>0.24004619027307278</c:v>
                </c:pt>
                <c:pt idx="54">
                  <c:v>0.24228066919243985</c:v>
                </c:pt>
                <c:pt idx="55">
                  <c:v>0.24445553626307559</c:v>
                </c:pt>
                <c:pt idx="56">
                  <c:v>0.24657187210384029</c:v>
                </c:pt>
                <c:pt idx="57">
                  <c:v>0.2486307394626735</c:v>
                </c:pt>
                <c:pt idx="58">
                  <c:v>0.25063318350155411</c:v>
                </c:pt>
                <c:pt idx="59">
                  <c:v>0.25258023207700386</c:v>
                </c:pt>
                <c:pt idx="60">
                  <c:v>0.25447289601619183</c:v>
                </c:pt>
                <c:pt idx="61">
                  <c:v>0.2563121693887182</c:v>
                </c:pt>
                <c:pt idx="62">
                  <c:v>0.25809902977413812</c:v>
                </c:pt>
                <c:pt idx="63">
                  <c:v>0.25983443852529442</c:v>
                </c:pt>
                <c:pt idx="64">
                  <c:v>0.26151934102752333</c:v>
                </c:pt>
                <c:pt idx="65">
                  <c:v>0.26315466695379675</c:v>
                </c:pt>
                <c:pt idx="66">
                  <c:v>0.2647413305158654</c:v>
                </c:pt>
                <c:pt idx="67">
                  <c:v>0.26628023071146417</c:v>
                </c:pt>
                <c:pt idx="68">
                  <c:v>0.26777225156763934</c:v>
                </c:pt>
                <c:pt idx="69">
                  <c:v>0.26921826238026125</c:v>
                </c:pt>
                <c:pt idx="70">
                  <c:v>0.27061911794977733</c:v>
                </c:pt>
                <c:pt idx="71">
                  <c:v>0.27197565881326824</c:v>
                </c:pt>
                <c:pt idx="72">
                  <c:v>0.27328871147285994</c:v>
                </c:pt>
                <c:pt idx="73">
                  <c:v>0.27455908862055256</c:v>
                </c:pt>
                <c:pt idx="74">
                  <c:v>0.2757875893595188</c:v>
                </c:pt>
                <c:pt idx="75">
                  <c:v>0.27697499942192705</c:v>
                </c:pt>
                <c:pt idx="76">
                  <c:v>0.27812209138334487</c:v>
                </c:pt>
                <c:pt idx="77">
                  <c:v>0.27922962487377373</c:v>
                </c:pt>
                <c:pt idx="78">
                  <c:v>0.28029834678536875</c:v>
                </c:pt>
                <c:pt idx="79">
                  <c:v>0.28132899147689439</c:v>
                </c:pt>
                <c:pt idx="80">
                  <c:v>0.28232228097496748</c:v>
                </c:pt>
                <c:pt idx="81">
                  <c:v>0.28327892517213538</c:v>
                </c:pt>
                <c:pt idx="82">
                  <c:v>0.28419962202184157</c:v>
                </c:pt>
                <c:pt idx="83">
                  <c:v>0.28508505773032433</c:v>
                </c:pt>
                <c:pt idx="84">
                  <c:v>0.28593590694549842</c:v>
                </c:pt>
                <c:pt idx="85">
                  <c:v>0.28675283294286341</c:v>
                </c:pt>
                <c:pt idx="86">
                  <c:v>0.28753648780848945</c:v>
                </c:pt>
                <c:pt idx="87">
                  <c:v>0.28828751261912128</c:v>
                </c:pt>
                <c:pt idx="88">
                  <c:v>0.28900653761944889</c:v>
                </c:pt>
                <c:pt idx="89">
                  <c:v>0.28969418239658568</c:v>
                </c:pt>
                <c:pt idx="90">
                  <c:v>0.29035105605180195</c:v>
                </c:pt>
                <c:pt idx="91">
                  <c:v>0.29097775736954989</c:v>
                </c:pt>
                <c:pt idx="92">
                  <c:v>0.29157487498382972</c:v>
                </c:pt>
                <c:pt idx="93">
                  <c:v>0.29214298754193258</c:v>
                </c:pt>
                <c:pt idx="94">
                  <c:v>0.29268266386560238</c:v>
                </c:pt>
                <c:pt idx="95">
                  <c:v>0.29319446310965996</c:v>
                </c:pt>
                <c:pt idx="96">
                  <c:v>0.29367893491812369</c:v>
                </c:pt>
                <c:pt idx="97">
                  <c:v>0.29413661957786957</c:v>
                </c:pt>
                <c:pt idx="98">
                  <c:v>0.29456804816986865</c:v>
                </c:pt>
                <c:pt idx="99">
                  <c:v>0.2949737427180365</c:v>
                </c:pt>
                <c:pt idx="100">
                  <c:v>0.29535421633573561</c:v>
                </c:pt>
                <c:pt idx="101">
                  <c:v>0.29570997336996563</c:v>
                </c:pt>
                <c:pt idx="102">
                  <c:v>0.29604150954327701</c:v>
                </c:pt>
                <c:pt idx="103">
                  <c:v>0.29634931209344384</c:v>
                </c:pt>
                <c:pt idx="104">
                  <c:v>0.29663385991093194</c:v>
                </c:pt>
                <c:pt idx="105">
                  <c:v>0.2968956236741942</c:v>
                </c:pt>
                <c:pt idx="106">
                  <c:v>0.29713506598282979</c:v>
                </c:pt>
                <c:pt idx="107">
                  <c:v>0.29735264148863816</c:v>
                </c:pt>
                <c:pt idx="108">
                  <c:v>0.29754879702460174</c:v>
                </c:pt>
                <c:pt idx="109">
                  <c:v>0.29772397173182996</c:v>
                </c:pt>
                <c:pt idx="110">
                  <c:v>0.29787859718449528</c:v>
                </c:pt>
                <c:pt idx="111">
                  <c:v>0.29801309751279353</c:v>
                </c:pt>
                <c:pt idx="112">
                  <c:v>0.29812788952395886</c:v>
                </c:pt>
                <c:pt idx="113">
                  <c:v>0.29822338282136346</c:v>
                </c:pt>
                <c:pt idx="114">
                  <c:v>0.29829997992173329</c:v>
                </c:pt>
                <c:pt idx="115">
                  <c:v>0.29835807637050665</c:v>
                </c:pt>
                <c:pt idx="116">
                  <c:v>0.29839806085536669</c:v>
                </c:pt>
                <c:pt idx="117">
                  <c:v>0.29842031531797653</c:v>
                </c:pt>
                <c:pt idx="118">
                  <c:v>0.29842521506394265</c:v>
                </c:pt>
                <c:pt idx="119">
                  <c:v>0.2984131288710371</c:v>
                </c:pt>
                <c:pt idx="120">
                  <c:v>0.29838441909570357</c:v>
                </c:pt>
                <c:pt idx="121">
                  <c:v>0.29833944177787508</c:v>
                </c:pt>
                <c:pt idx="122">
                  <c:v>0.29827854674413035</c:v>
                </c:pt>
                <c:pt idx="123">
                  <c:v>0.29820207770921214</c:v>
                </c:pt>
                <c:pt idx="124">
                  <c:v>0.29811037237593685</c:v>
                </c:pt>
                <c:pt idx="125">
                  <c:v>0.29800376253351724</c:v>
                </c:pt>
                <c:pt idx="126">
                  <c:v>0.29788257415432506</c:v>
                </c:pt>
                <c:pt idx="127">
                  <c:v>0.29774712748911736</c:v>
                </c:pt>
                <c:pt idx="128">
                  <c:v>0.29759773716074978</c:v>
                </c:pt>
                <c:pt idx="129">
                  <c:v>0.29743471225640217</c:v>
                </c:pt>
                <c:pt idx="130">
                  <c:v>0.29725835641833787</c:v>
                </c:pt>
                <c:pt idx="131">
                  <c:v>0.29706896793322091</c:v>
                </c:pt>
                <c:pt idx="132">
                  <c:v>0.29686683982001316</c:v>
                </c:pt>
                <c:pt idx="133">
                  <c:v>0.29665225991647381</c:v>
                </c:pt>
                <c:pt idx="134">
                  <c:v>0.2964255109642826</c:v>
                </c:pt>
                <c:pt idx="135">
                  <c:v>0.29618687069280891</c:v>
                </c:pt>
                <c:pt idx="136">
                  <c:v>0.29593661190154819</c:v>
                </c:pt>
                <c:pt idx="137">
                  <c:v>0.29567500254124496</c:v>
                </c:pt>
                <c:pt idx="138">
                  <c:v>0.29540230579372478</c:v>
                </c:pt>
                <c:pt idx="139">
                  <c:v>0.29511878015045462</c:v>
                </c:pt>
                <c:pt idx="140">
                  <c:v>0.29482467948985136</c:v>
                </c:pt>
                <c:pt idx="141">
                  <c:v>0.29452025315335845</c:v>
                </c:pt>
                <c:pt idx="142">
                  <c:v>0.29420574602030947</c:v>
                </c:pt>
                <c:pt idx="143">
                  <c:v>0.29388139858159834</c:v>
                </c:pt>
                <c:pt idx="144">
                  <c:v>0.29354744701217417</c:v>
                </c:pt>
                <c:pt idx="145">
                  <c:v>0.29320412324237954</c:v>
                </c:pt>
                <c:pt idx="146">
                  <c:v>0.29285165502815047</c:v>
                </c:pt>
                <c:pt idx="147">
                  <c:v>0.2924902660200952</c:v>
                </c:pt>
                <c:pt idx="148">
                  <c:v>0.29212017583147065</c:v>
                </c:pt>
                <c:pt idx="149">
                  <c:v>0.29174160010507189</c:v>
                </c:pt>
                <c:pt idx="150">
                  <c:v>0.2913547505790543</c:v>
                </c:pt>
                <c:pt idx="151">
                  <c:v>0.29095983515170243</c:v>
                </c:pt>
                <c:pt idx="152">
                  <c:v>0.29055705794516384</c:v>
                </c:pt>
                <c:pt idx="153">
                  <c:v>0.29014661936816399</c:v>
                </c:pt>
                <c:pt idx="154">
                  <c:v>0.28972871617771728</c:v>
                </c:pt>
                <c:pt idx="155">
                  <c:v>0.28930354153985072</c:v>
                </c:pt>
                <c:pt idx="156">
                  <c:v>0.288871285089356</c:v>
                </c:pt>
                <c:pt idx="157">
                  <c:v>0.288432132988584</c:v>
                </c:pt>
                <c:pt idx="158">
                  <c:v>0.28798626798529825</c:v>
                </c:pt>
                <c:pt idx="159">
                  <c:v>0.28753386946960124</c:v>
                </c:pt>
                <c:pt idx="160">
                  <c:v>0.28707511352994808</c:v>
                </c:pt>
                <c:pt idx="161">
                  <c:v>0.28661017300826225</c:v>
                </c:pt>
                <c:pt idx="162">
                  <c:v>0.28613921755416782</c:v>
                </c:pt>
                <c:pt idx="163">
                  <c:v>0.28566241367835082</c:v>
                </c:pt>
                <c:pt idx="164">
                  <c:v>0.28517992480506493</c:v>
                </c:pt>
                <c:pt idx="165">
                  <c:v>0.28469191132379407</c:v>
                </c:pt>
                <c:pt idx="166">
                  <c:v>0.28419853064008477</c:v>
                </c:pt>
                <c:pt idx="167">
                  <c:v>0.28369993722556297</c:v>
                </c:pt>
                <c:pt idx="168">
                  <c:v>0.2831962826671463</c:v>
                </c:pt>
                <c:pt idx="169">
                  <c:v>0.28268771571546553</c:v>
                </c:pt>
                <c:pt idx="170">
                  <c:v>0.28217438233250719</c:v>
                </c:pt>
                <c:pt idx="171">
                  <c:v>0.28165642573848992</c:v>
                </c:pt>
                <c:pt idx="172">
                  <c:v>0.28113398645798654</c:v>
                </c:pt>
                <c:pt idx="173">
                  <c:v>0.28060720236530357</c:v>
                </c:pt>
                <c:pt idx="174">
                  <c:v>0.28007620872913008</c:v>
                </c:pt>
                <c:pt idx="175">
                  <c:v>0.27954113825646676</c:v>
                </c:pt>
                <c:pt idx="176">
                  <c:v>0.27900212113584816</c:v>
                </c:pt>
                <c:pt idx="177">
                  <c:v>0.27845928507986706</c:v>
                </c:pt>
                <c:pt idx="178">
                  <c:v>0.27791275536701382</c:v>
                </c:pt>
                <c:pt idx="179">
                  <c:v>0.27736265488284023</c:v>
                </c:pt>
                <c:pt idx="180">
                  <c:v>0.27680910416045923</c:v>
                </c:pt>
                <c:pt idx="181">
                  <c:v>0.27625222142039113</c:v>
                </c:pt>
                <c:pt idx="182">
                  <c:v>0.27569212260976572</c:v>
                </c:pt>
                <c:pt idx="183">
                  <c:v>0.27512892144089135</c:v>
                </c:pt>
                <c:pt idx="184">
                  <c:v>0.27456272942920057</c:v>
                </c:pt>
                <c:pt idx="185">
                  <c:v>0.27399365593058217</c:v>
                </c:pt>
                <c:pt idx="186">
                  <c:v>0.27342180817810935</c:v>
                </c:pt>
                <c:pt idx="187">
                  <c:v>0.27284729131817387</c:v>
                </c:pt>
                <c:pt idx="188">
                  <c:v>0.27227020844603456</c:v>
                </c:pt>
                <c:pt idx="189">
                  <c:v>0.27169066064079112</c:v>
                </c:pt>
                <c:pt idx="190">
                  <c:v>0.27110874699979037</c:v>
                </c:pt>
                <c:pt idx="191">
                  <c:v>0.27052456467247549</c:v>
                </c:pt>
                <c:pt idx="192">
                  <c:v>0.26993820889368636</c:v>
                </c:pt>
                <c:pt idx="193">
                  <c:v>0.26934977301641927</c:v>
                </c:pt>
                <c:pt idx="194">
                  <c:v>0.26875934854405581</c:v>
                </c:pt>
                <c:pt idx="195">
                  <c:v>0.26816702516206792</c:v>
                </c:pt>
                <c:pt idx="196">
                  <c:v>0.26757289076920837</c:v>
                </c:pt>
                <c:pt idx="197">
                  <c:v>0.26697703150819407</c:v>
                </c:pt>
                <c:pt idx="198">
                  <c:v>0.26637953179589147</c:v>
                </c:pt>
                <c:pt idx="199">
                  <c:v>0.26578047435301005</c:v>
                </c:pt>
                <c:pt idx="200">
                  <c:v>0.26517994023331354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31-4BF4-A83B-EB84BA253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08736"/>
        <c:axId val="143114624"/>
      </c:scatterChart>
      <c:valAx>
        <c:axId val="143108736"/>
        <c:scaling>
          <c:orientation val="minMax"/>
          <c:max val="50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3114624"/>
        <c:crossesAt val="-100"/>
        <c:crossBetween val="midCat"/>
      </c:valAx>
      <c:valAx>
        <c:axId val="143114624"/>
        <c:scaling>
          <c:orientation val="minMax"/>
        </c:scaling>
        <c:delete val="0"/>
        <c:axPos val="l"/>
        <c:majorGridlines/>
        <c:numFmt formatCode="#,##0.0000" sourceLinked="0"/>
        <c:majorTickMark val="out"/>
        <c:minorTickMark val="none"/>
        <c:tickLblPos val="nextTo"/>
        <c:crossAx val="14310873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4952390664674445"/>
          <c:y val="0.94366569968227654"/>
          <c:w val="0.48640011549990375"/>
          <c:h val="4.229921259842519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40131404057163E-2"/>
          <c:y val="7.5304139614127186E-2"/>
          <c:w val="0.8913672129231559"/>
          <c:h val="0.86609550122024226"/>
        </c:manualLayout>
      </c:layout>
      <c:scatterChart>
        <c:scatterStyle val="lineMarker"/>
        <c:varyColors val="0"/>
        <c:ser>
          <c:idx val="3"/>
          <c:order val="0"/>
          <c:tx>
            <c:strRef>
              <c:f>'Nelson-Siegel Curve'!$I$30</c:f>
              <c:strCache>
                <c:ptCount val="1"/>
                <c:pt idx="0">
                  <c:v>Yield</c:v>
                </c:pt>
              </c:strCache>
            </c:strRef>
          </c:tx>
          <c:marker>
            <c:symbol val="none"/>
          </c:marker>
          <c:xVal>
            <c:numRef>
              <c:f>'Nelson-Siegel Curve'!$E$31:$E$231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'Nelson-Siegel Curve'!$I$31:$I$231</c:f>
              <c:numCache>
                <c:formatCode>0.00000</c:formatCode>
                <c:ptCount val="201"/>
                <c:pt idx="0">
                  <c:v>2.5000000000000001E-2</c:v>
                </c:pt>
                <c:pt idx="1">
                  <c:v>2.5490777228517034E-2</c:v>
                </c:pt>
                <c:pt idx="2">
                  <c:v>2.5973568215296092E-2</c:v>
                </c:pt>
                <c:pt idx="3">
                  <c:v>2.6448497948446684E-2</c:v>
                </c:pt>
                <c:pt idx="4">
                  <c:v>2.6915689488356601E-2</c:v>
                </c:pt>
                <c:pt idx="5">
                  <c:v>2.7375263997214433E-2</c:v>
                </c:pt>
                <c:pt idx="6">
                  <c:v>2.7827340768081521E-2</c:v>
                </c:pt>
                <c:pt idx="7">
                  <c:v>2.827203725352035E-2</c:v>
                </c:pt>
                <c:pt idx="8">
                  <c:v>2.8709469093786511E-2</c:v>
                </c:pt>
                <c:pt idx="9">
                  <c:v>2.9139750144590151E-2</c:v>
                </c:pt>
                <c:pt idx="10">
                  <c:v>2.956299250443431E-2</c:v>
                </c:pt>
                <c:pt idx="11">
                  <c:v>2.9979306541535765E-2</c:v>
                </c:pt>
                <c:pt idx="12">
                  <c:v>3.0388800920335381E-2</c:v>
                </c:pt>
                <c:pt idx="13">
                  <c:v>3.0791582627603935E-2</c:v>
                </c:pt>
                <c:pt idx="14">
                  <c:v>3.1187756998149411E-2</c:v>
                </c:pt>
                <c:pt idx="15">
                  <c:v>3.157742774013228E-2</c:v>
                </c:pt>
                <c:pt idx="16">
                  <c:v>3.1960696959994241E-2</c:v>
                </c:pt>
                <c:pt idx="17">
                  <c:v>3.2337665187006648E-2</c:v>
                </c:pt>
                <c:pt idx="18">
                  <c:v>3.2708431397444303E-2</c:v>
                </c:pt>
                <c:pt idx="19">
                  <c:v>3.3073093038390233E-2</c:v>
                </c:pt>
                <c:pt idx="20">
                  <c:v>3.343174605117722E-2</c:v>
                </c:pt>
                <c:pt idx="21">
                  <c:v>3.3784484894471514E-2</c:v>
                </c:pt>
                <c:pt idx="22">
                  <c:v>3.4131402567004199E-2</c:v>
                </c:pt>
                <c:pt idx="23">
                  <c:v>3.4472590629955543E-2</c:v>
                </c:pt>
                <c:pt idx="24">
                  <c:v>3.4808139228997746E-2</c:v>
                </c:pt>
                <c:pt idx="25">
                  <c:v>3.5138137116001104E-2</c:v>
                </c:pt>
                <c:pt idx="26">
                  <c:v>3.5462671670408813E-2</c:v>
                </c:pt>
                <c:pt idx="27">
                  <c:v>3.5781828920285488E-2</c:v>
                </c:pt>
                <c:pt idx="28">
                  <c:v>3.6095693563044269E-2</c:v>
                </c:pt>
                <c:pt idx="29">
                  <c:v>3.6404348985857517E-2</c:v>
                </c:pt>
                <c:pt idx="30">
                  <c:v>3.6707877285755801E-2</c:v>
                </c:pt>
                <c:pt idx="31">
                  <c:v>3.7006359289420046E-2</c:v>
                </c:pt>
                <c:pt idx="32">
                  <c:v>3.7299874572671365E-2</c:v>
                </c:pt>
                <c:pt idx="33">
                  <c:v>3.7588501479663375E-2</c:v>
                </c:pt>
                <c:pt idx="34">
                  <c:v>3.7872317141781367E-2</c:v>
                </c:pt>
                <c:pt idx="35">
                  <c:v>3.8151397496252737E-2</c:v>
                </c:pt>
                <c:pt idx="36">
                  <c:v>3.842581730447342E-2</c:v>
                </c:pt>
                <c:pt idx="37">
                  <c:v>3.8695650170054184E-2</c:v>
                </c:pt>
                <c:pt idx="38">
                  <c:v>3.8960968556591404E-2</c:v>
                </c:pt>
                <c:pt idx="39">
                  <c:v>3.9221843805166356E-2</c:v>
                </c:pt>
                <c:pt idx="40">
                  <c:v>3.9478346151577248E-2</c:v>
                </c:pt>
                <c:pt idx="41">
                  <c:v>3.9730544743307852E-2</c:v>
                </c:pt>
                <c:pt idx="42">
                  <c:v>3.9978507656237158E-2</c:v>
                </c:pt>
                <c:pt idx="43">
                  <c:v>4.0222301911093508E-2</c:v>
                </c:pt>
                <c:pt idx="44">
                  <c:v>4.0461993489657462E-2</c:v>
                </c:pt>
                <c:pt idx="45">
                  <c:v>4.0697647350717091E-2</c:v>
                </c:pt>
                <c:pt idx="46">
                  <c:v>4.0929327445779422E-2</c:v>
                </c:pt>
                <c:pt idx="47">
                  <c:v>4.115709673454189E-2</c:v>
                </c:pt>
                <c:pt idx="48">
                  <c:v>4.1381017200127233E-2</c:v>
                </c:pt>
                <c:pt idx="49">
                  <c:v>4.1601149864085765E-2</c:v>
                </c:pt>
                <c:pt idx="50">
                  <c:v>4.1817554801168146E-2</c:v>
                </c:pt>
                <c:pt idx="51">
                  <c:v>4.2030291153872565E-2</c:v>
                </c:pt>
                <c:pt idx="52">
                  <c:v>4.2239417146769473E-2</c:v>
                </c:pt>
                <c:pt idx="53">
                  <c:v>4.244499010060742E-2</c:v>
                </c:pt>
                <c:pt idx="54">
                  <c:v>4.2647066446203211E-2</c:v>
                </c:pt>
                <c:pt idx="55">
                  <c:v>4.2845701738119794E-2</c:v>
                </c:pt>
                <c:pt idx="56">
                  <c:v>4.3040950668135042E-2</c:v>
                </c:pt>
                <c:pt idx="57">
                  <c:v>4.3232867078504614E-2</c:v>
                </c:pt>
                <c:pt idx="58">
                  <c:v>4.3421503975022015E-2</c:v>
                </c:pt>
                <c:pt idx="59">
                  <c:v>4.3606913539879041E-2</c:v>
                </c:pt>
                <c:pt idx="60">
                  <c:v>4.3789147144329521E-2</c:v>
                </c:pt>
                <c:pt idx="61">
                  <c:v>4.3968255361159454E-2</c:v>
                </c:pt>
                <c:pt idx="62">
                  <c:v>4.4144287976966484E-2</c:v>
                </c:pt>
                <c:pt idx="63">
                  <c:v>4.4317294004251481E-2</c:v>
                </c:pt>
                <c:pt idx="64">
                  <c:v>4.4487321693325373E-2</c:v>
                </c:pt>
                <c:pt idx="65">
                  <c:v>4.4654418544033674E-2</c:v>
                </c:pt>
                <c:pt idx="66">
                  <c:v>4.4818631317301877E-2</c:v>
                </c:pt>
                <c:pt idx="67">
                  <c:v>4.4980006046504137E-2</c:v>
                </c:pt>
                <c:pt idx="68">
                  <c:v>4.5138588048658029E-2</c:v>
                </c:pt>
                <c:pt idx="69">
                  <c:v>4.5294421935448179E-2</c:v>
                </c:pt>
                <c:pt idx="70">
                  <c:v>4.5447551624081164E-2</c:v>
                </c:pt>
                <c:pt idx="71">
                  <c:v>4.5598020347974361E-2</c:v>
                </c:pt>
                <c:pt idx="72">
                  <c:v>4.574587066728121E-2</c:v>
                </c:pt>
                <c:pt idx="73">
                  <c:v>4.5891144479255574E-2</c:v>
                </c:pt>
                <c:pt idx="74">
                  <c:v>4.6033883028457373E-2</c:v>
                </c:pt>
                <c:pt idx="75">
                  <c:v>4.6174126916802075E-2</c:v>
                </c:pt>
                <c:pt idx="76">
                  <c:v>4.6311916113456454E-2</c:v>
                </c:pt>
                <c:pt idx="77">
                  <c:v>4.6447289964582875E-2</c:v>
                </c:pt>
                <c:pt idx="78">
                  <c:v>4.658028720293439E-2</c:v>
                </c:pt>
                <c:pt idx="79">
                  <c:v>4.6710945957303074E-2</c:v>
                </c:pt>
                <c:pt idx="80">
                  <c:v>4.6839303761823686E-2</c:v>
                </c:pt>
                <c:pt idx="81">
                  <c:v>4.6965397565134862E-2</c:v>
                </c:pt>
                <c:pt idx="82">
                  <c:v>4.7089263739400186E-2</c:v>
                </c:pt>
                <c:pt idx="83">
                  <c:v>4.7210938089191065E-2</c:v>
                </c:pt>
                <c:pt idx="84">
                  <c:v>4.7330455860233621E-2</c:v>
                </c:pt>
                <c:pt idx="85">
                  <c:v>4.7447851748021699E-2</c:v>
                </c:pt>
                <c:pt idx="86">
                  <c:v>4.7563159906297954E-2</c:v>
                </c:pt>
                <c:pt idx="87">
                  <c:v>4.7676413955405061E-2</c:v>
                </c:pt>
                <c:pt idx="88">
                  <c:v>4.7787646990509122E-2</c:v>
                </c:pt>
                <c:pt idx="89">
                  <c:v>4.7896891589696983E-2</c:v>
                </c:pt>
                <c:pt idx="90">
                  <c:v>4.8004179821949711E-2</c:v>
                </c:pt>
                <c:pt idx="91">
                  <c:v>4.8109543254993808E-2</c:v>
                </c:pt>
                <c:pt idx="92">
                  <c:v>4.8213012963032223E-2</c:v>
                </c:pt>
                <c:pt idx="93">
                  <c:v>4.8314619534356999E-2</c:v>
                </c:pt>
                <c:pt idx="94">
                  <c:v>4.8414393078845125E-2</c:v>
                </c:pt>
                <c:pt idx="95">
                  <c:v>4.851236323533975E-2</c:v>
                </c:pt>
                <c:pt idx="96">
                  <c:v>4.8608559178918202E-2</c:v>
                </c:pt>
                <c:pt idx="97">
                  <c:v>4.8703009628048632E-2</c:v>
                </c:pt>
                <c:pt idx="98">
                  <c:v>4.8795742851637063E-2</c:v>
                </c:pt>
                <c:pt idx="99">
                  <c:v>4.8886786675966416E-2</c:v>
                </c:pt>
                <c:pt idx="100">
                  <c:v>4.8976168491529179E-2</c:v>
                </c:pt>
                <c:pt idx="101">
                  <c:v>4.9063915259755377E-2</c:v>
                </c:pt>
                <c:pt idx="102">
                  <c:v>4.9150053519637457E-2</c:v>
                </c:pt>
                <c:pt idx="103">
                  <c:v>4.9234609394253552E-2</c:v>
                </c:pt>
                <c:pt idx="104">
                  <c:v>4.9317608597190823E-2</c:v>
                </c:pt>
                <c:pt idx="105">
                  <c:v>4.9399076438870274E-2</c:v>
                </c:pt>
                <c:pt idx="106">
                  <c:v>4.9479037832774658E-2</c:v>
                </c:pt>
                <c:pt idx="107">
                  <c:v>4.955751730158086E-2</c:v>
                </c:pt>
                <c:pt idx="108">
                  <c:v>4.9634538983198251E-2</c:v>
                </c:pt>
                <c:pt idx="109">
                  <c:v>4.9710126636714473E-2</c:v>
                </c:pt>
                <c:pt idx="110">
                  <c:v>4.9784303648250032E-2</c:v>
                </c:pt>
                <c:pt idx="111">
                  <c:v>4.9857093036723109E-2</c:v>
                </c:pt>
                <c:pt idx="112">
                  <c:v>4.9928517459525937E-2</c:v>
                </c:pt>
                <c:pt idx="113">
                  <c:v>4.999859921811417E-2</c:v>
                </c:pt>
                <c:pt idx="114">
                  <c:v>5.0067360263510413E-2</c:v>
                </c:pt>
                <c:pt idx="115">
                  <c:v>5.0134822201723467E-2</c:v>
                </c:pt>
                <c:pt idx="116">
                  <c:v>5.0201006299084278E-2</c:v>
                </c:pt>
                <c:pt idx="117">
                  <c:v>5.0265933487500178E-2</c:v>
                </c:pt>
                <c:pt idx="118">
                  <c:v>5.0329624369628359E-2</c:v>
                </c:pt>
                <c:pt idx="119">
                  <c:v>5.0392099223970088E-2</c:v>
                </c:pt>
                <c:pt idx="120">
                  <c:v>5.0453378009886661E-2</c:v>
                </c:pt>
                <c:pt idx="121">
                  <c:v>5.0513480372538409E-2</c:v>
                </c:pt>
                <c:pt idx="122">
                  <c:v>5.0572425647747943E-2</c:v>
                </c:pt>
                <c:pt idx="123">
                  <c:v>5.0630232866788673E-2</c:v>
                </c:pt>
                <c:pt idx="124">
                  <c:v>5.0686920761099867E-2</c:v>
                </c:pt>
                <c:pt idx="125">
                  <c:v>5.0742507766929346E-2</c:v>
                </c:pt>
                <c:pt idx="126">
                  <c:v>5.0797012029904866E-2</c:v>
                </c:pt>
                <c:pt idx="127">
                  <c:v>5.0850451409535313E-2</c:v>
                </c:pt>
                <c:pt idx="128">
                  <c:v>5.0902843483642844E-2</c:v>
                </c:pt>
                <c:pt idx="129">
                  <c:v>5.0954205552726867E-2</c:v>
                </c:pt>
                <c:pt idx="130">
                  <c:v>5.1004554644261096E-2</c:v>
                </c:pt>
                <c:pt idx="131">
                  <c:v>5.1053907516924589E-2</c:v>
                </c:pt>
                <c:pt idx="132">
                  <c:v>5.1102280664767727E-2</c:v>
                </c:pt>
                <c:pt idx="133">
                  <c:v>5.1149690321314327E-2</c:v>
                </c:pt>
                <c:pt idx="134">
                  <c:v>5.1196152463600639E-2</c:v>
                </c:pt>
                <c:pt idx="135">
                  <c:v>5.1241682816152337E-2</c:v>
                </c:pt>
                <c:pt idx="136">
                  <c:v>5.1286296854900368E-2</c:v>
                </c:pt>
                <c:pt idx="137">
                  <c:v>5.1330009811036713E-2</c:v>
                </c:pt>
                <c:pt idx="138">
                  <c:v>5.1372836674810823E-2</c:v>
                </c:pt>
                <c:pt idx="139">
                  <c:v>5.14147921992677E-2</c:v>
                </c:pt>
                <c:pt idx="140">
                  <c:v>5.1455890903928631E-2</c:v>
                </c:pt>
                <c:pt idx="141">
                  <c:v>5.1496147078415211E-2</c:v>
                </c:pt>
                <c:pt idx="142">
                  <c:v>5.1535574786017793E-2</c:v>
                </c:pt>
                <c:pt idx="143">
                  <c:v>5.1574187867208958E-2</c:v>
                </c:pt>
                <c:pt idx="144">
                  <c:v>5.1611999943103073E-2</c:v>
                </c:pt>
                <c:pt idx="145">
                  <c:v>5.1649024418862564E-2</c:v>
                </c:pt>
                <c:pt idx="146">
                  <c:v>5.1685274487051909E-2</c:v>
                </c:pt>
                <c:pt idx="147">
                  <c:v>5.172076313093997E-2</c:v>
                </c:pt>
                <c:pt idx="148">
                  <c:v>5.1755503127751568E-2</c:v>
                </c:pt>
                <c:pt idx="149">
                  <c:v>5.1789507051869091E-2</c:v>
                </c:pt>
                <c:pt idx="150">
                  <c:v>5.1822787277984755E-2</c:v>
                </c:pt>
                <c:pt idx="151">
                  <c:v>5.1855355984204474E-2</c:v>
                </c:pt>
                <c:pt idx="152">
                  <c:v>5.1887225155103918E-2</c:v>
                </c:pt>
                <c:pt idx="153">
                  <c:v>5.1918406584737571E-2</c:v>
                </c:pt>
                <c:pt idx="154">
                  <c:v>5.1948911879601503E-2</c:v>
                </c:pt>
                <c:pt idx="155">
                  <c:v>5.1978752461550502E-2</c:v>
                </c:pt>
                <c:pt idx="156">
                  <c:v>5.2007939570670361E-2</c:v>
                </c:pt>
                <c:pt idx="157">
                  <c:v>5.2036484268105934E-2</c:v>
                </c:pt>
                <c:pt idx="158">
                  <c:v>5.2064397438845667E-2</c:v>
                </c:pt>
                <c:pt idx="159">
                  <c:v>5.2091689794463235E-2</c:v>
                </c:pt>
                <c:pt idx="160">
                  <c:v>5.2118371875817048E-2</c:v>
                </c:pt>
                <c:pt idx="161">
                  <c:v>5.2144454055708056E-2</c:v>
                </c:pt>
                <c:pt idx="162">
                  <c:v>5.2169946541496814E-2</c:v>
                </c:pt>
                <c:pt idx="163">
                  <c:v>5.2194859377680029E-2</c:v>
                </c:pt>
                <c:pt idx="164">
                  <c:v>5.2219202448427655E-2</c:v>
                </c:pt>
                <c:pt idx="165">
                  <c:v>5.2242985480080675E-2</c:v>
                </c:pt>
                <c:pt idx="166">
                  <c:v>5.2266218043610646E-2</c:v>
                </c:pt>
                <c:pt idx="167">
                  <c:v>5.2288909557041102E-2</c:v>
                </c:pt>
                <c:pt idx="168">
                  <c:v>5.2311069287831885E-2</c:v>
                </c:pt>
                <c:pt idx="169">
                  <c:v>5.2332706355226577E-2</c:v>
                </c:pt>
                <c:pt idx="170">
                  <c:v>5.2353829732563806E-2</c:v>
                </c:pt>
                <c:pt idx="171">
                  <c:v>5.2374448249552986E-2</c:v>
                </c:pt>
                <c:pt idx="172">
                  <c:v>5.2394570594514876E-2</c:v>
                </c:pt>
                <c:pt idx="173">
                  <c:v>5.2414205316587671E-2</c:v>
                </c:pt>
                <c:pt idx="174">
                  <c:v>5.2433360827899088E-2</c:v>
                </c:pt>
                <c:pt idx="175">
                  <c:v>5.2452045405704917E-2</c:v>
                </c:pt>
                <c:pt idx="176">
                  <c:v>5.2470267194494637E-2</c:v>
                </c:pt>
                <c:pt idx="177">
                  <c:v>5.2488034208064555E-2</c:v>
                </c:pt>
                <c:pt idx="178">
                  <c:v>5.2505354331558944E-2</c:v>
                </c:pt>
                <c:pt idx="179">
                  <c:v>5.2522235323479723E-2</c:v>
                </c:pt>
                <c:pt idx="180">
                  <c:v>5.2538684817665132E-2</c:v>
                </c:pt>
                <c:pt idx="181">
                  <c:v>5.2554710325237917E-2</c:v>
                </c:pt>
                <c:pt idx="182">
                  <c:v>5.2570319236523347E-2</c:v>
                </c:pt>
                <c:pt idx="183">
                  <c:v>5.2585518822937764E-2</c:v>
                </c:pt>
                <c:pt idx="184">
                  <c:v>5.2600316238847929E-2</c:v>
                </c:pt>
                <c:pt idx="185">
                  <c:v>5.2614718523401639E-2</c:v>
                </c:pt>
                <c:pt idx="186">
                  <c:v>5.2628732602330162E-2</c:v>
                </c:pt>
                <c:pt idx="187">
                  <c:v>5.264236528972277E-2</c:v>
                </c:pt>
                <c:pt idx="188">
                  <c:v>5.2655623289773947E-2</c:v>
                </c:pt>
                <c:pt idx="189">
                  <c:v>5.2668513198503575E-2</c:v>
                </c:pt>
                <c:pt idx="190">
                  <c:v>5.2681041505450547E-2</c:v>
                </c:pt>
                <c:pt idx="191">
                  <c:v>5.2693214595340251E-2</c:v>
                </c:pt>
                <c:pt idx="192">
                  <c:v>5.2705038749726311E-2</c:v>
                </c:pt>
                <c:pt idx="193">
                  <c:v>5.2716520148606907E-2</c:v>
                </c:pt>
                <c:pt idx="194">
                  <c:v>5.2727664872016203E-2</c:v>
                </c:pt>
                <c:pt idx="195">
                  <c:v>5.2738478901591113E-2</c:v>
                </c:pt>
                <c:pt idx="196">
                  <c:v>5.2748968122113882E-2</c:v>
                </c:pt>
                <c:pt idx="197">
                  <c:v>5.2759138323030891E-2</c:v>
                </c:pt>
                <c:pt idx="198">
                  <c:v>5.2768995199947828E-2</c:v>
                </c:pt>
                <c:pt idx="199">
                  <c:v>5.2778544356101964E-2</c:v>
                </c:pt>
                <c:pt idx="200">
                  <c:v>5.2787791303811449E-2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E-4138-9B04-BCF37A2DD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57024"/>
        <c:axId val="144258560"/>
      </c:scatterChart>
      <c:valAx>
        <c:axId val="144257024"/>
        <c:scaling>
          <c:orientation val="minMax"/>
          <c:max val="50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258560"/>
        <c:crossesAt val="-100"/>
        <c:crossBetween val="midCat"/>
      </c:valAx>
      <c:valAx>
        <c:axId val="144258560"/>
        <c:scaling>
          <c:orientation val="minMax"/>
        </c:scaling>
        <c:delete val="0"/>
        <c:axPos val="l"/>
        <c:majorGridlines/>
        <c:numFmt formatCode="#,##0.0000" sourceLinked="0"/>
        <c:majorTickMark val="out"/>
        <c:minorTickMark val="none"/>
        <c:tickLblPos val="nextTo"/>
        <c:crossAx val="144257024"/>
        <c:crosses val="autoZero"/>
        <c:crossBetween val="midCat"/>
        <c:majorUnit val="5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'Nelson-Siegel Curve OLS Fit'!$F$30</c:f>
              <c:strCache>
                <c:ptCount val="1"/>
                <c:pt idx="0">
                  <c:v>Factor 1</c:v>
                </c:pt>
              </c:strCache>
            </c:strRef>
          </c:tx>
          <c:marker>
            <c:symbol val="none"/>
          </c:marker>
          <c:xVal>
            <c:numRef>
              <c:f>'Nelson-Siegel Curve OLS Fit'!$E$31:$E$231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'Nelson-Siegel Curve OLS Fit'!$F$31:$F$231</c:f>
              <c:numCache>
                <c:formatCode>General</c:formatCode>
                <c:ptCount val="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4-406E-9684-BFAF5A63C695}"/>
            </c:ext>
          </c:extLst>
        </c:ser>
        <c:ser>
          <c:idx val="1"/>
          <c:order val="1"/>
          <c:tx>
            <c:strRef>
              <c:f>'Nelson-Siegel Curve OLS Fit'!$G$30</c:f>
              <c:strCache>
                <c:ptCount val="1"/>
                <c:pt idx="0">
                  <c:v>Factor 2</c:v>
                </c:pt>
              </c:strCache>
            </c:strRef>
          </c:tx>
          <c:marker>
            <c:symbol val="none"/>
          </c:marker>
          <c:xVal>
            <c:numRef>
              <c:f>'Nelson-Siegel Curve OLS Fit'!$E$31:$E$231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'Nelson-Siegel Curve OLS Fit'!$G$31:$G$231</c:f>
              <c:numCache>
                <c:formatCode>0.000000</c:formatCode>
                <c:ptCount val="201"/>
                <c:pt idx="0" formatCode="General">
                  <c:v>1</c:v>
                </c:pt>
                <c:pt idx="1">
                  <c:v>0.95162581964040482</c:v>
                </c:pt>
                <c:pt idx="2">
                  <c:v>0.9063462346100909</c:v>
                </c:pt>
                <c:pt idx="3">
                  <c:v>0.8639392643942736</c:v>
                </c:pt>
                <c:pt idx="4">
                  <c:v>0.82419988491090168</c:v>
                </c:pt>
                <c:pt idx="5">
                  <c:v>0.78693868057473315</c:v>
                </c:pt>
                <c:pt idx="6">
                  <c:v>0.75198060650995591</c:v>
                </c:pt>
                <c:pt idx="7">
                  <c:v>0.71916385172655795</c:v>
                </c:pt>
                <c:pt idx="8">
                  <c:v>0.68833879485347305</c:v>
                </c:pt>
                <c:pt idx="9">
                  <c:v>0.65936704473266761</c:v>
                </c:pt>
                <c:pt idx="10">
                  <c:v>0.63212055882855767</c:v>
                </c:pt>
                <c:pt idx="11">
                  <c:v>0.60648083300174582</c:v>
                </c:pt>
                <c:pt idx="12">
                  <c:v>0.58233815673983158</c:v>
                </c:pt>
                <c:pt idx="13">
                  <c:v>0.55959092843537495</c:v>
                </c:pt>
                <c:pt idx="14">
                  <c:v>0.53814502575599532</c:v>
                </c:pt>
                <c:pt idx="15">
                  <c:v>0.51791322656771344</c:v>
                </c:pt>
                <c:pt idx="16">
                  <c:v>0.49881467625334036</c:v>
                </c:pt>
                <c:pt idx="17">
                  <c:v>0.48077439761603841</c:v>
                </c:pt>
                <c:pt idx="18">
                  <c:v>0.46372283987689633</c:v>
                </c:pt>
                <c:pt idx="19">
                  <c:v>0.44759546356703411</c:v>
                </c:pt>
                <c:pt idx="20">
                  <c:v>0.43233235838169365</c:v>
                </c:pt>
                <c:pt idx="21">
                  <c:v>0.41787789130810388</c:v>
                </c:pt>
                <c:pt idx="22">
                  <c:v>0.40418038256257549</c:v>
                </c:pt>
                <c:pt idx="23">
                  <c:v>0.39119180707704182</c:v>
                </c:pt>
                <c:pt idx="24">
                  <c:v>0.37886751946274477</c:v>
                </c:pt>
                <c:pt idx="25">
                  <c:v>0.36716600055044046</c:v>
                </c:pt>
                <c:pt idx="26">
                  <c:v>0.35604862376371771</c:v>
                </c:pt>
                <c:pt idx="27">
                  <c:v>0.34547943972601858</c:v>
                </c:pt>
                <c:pt idx="28">
                  <c:v>0.33542497763385071</c:v>
                </c:pt>
                <c:pt idx="29">
                  <c:v>0.32585406204951473</c:v>
                </c:pt>
                <c:pt idx="30">
                  <c:v>0.31673764387737868</c:v>
                </c:pt>
                <c:pt idx="31">
                  <c:v>0.3080486443891749</c:v>
                </c:pt>
                <c:pt idx="32">
                  <c:v>0.29976181125676055</c:v>
                </c:pt>
                <c:pt idx="33">
                  <c:v>0.29185358563598784</c:v>
                </c:pt>
                <c:pt idx="34">
                  <c:v>0.28430197942343349</c:v>
                </c:pt>
                <c:pt idx="35">
                  <c:v>0.27708646187933755</c:v>
                </c:pt>
                <c:pt idx="36">
                  <c:v>0.27018785487575209</c:v>
                </c:pt>
                <c:pt idx="37">
                  <c:v>0.26358823608909743</c:v>
                </c:pt>
                <c:pt idx="38">
                  <c:v>0.25727084951153539</c:v>
                </c:pt>
                <c:pt idx="39">
                  <c:v>0.25122002270620397</c:v>
                </c:pt>
                <c:pt idx="40">
                  <c:v>0.24542109027781644</c:v>
                </c:pt>
                <c:pt idx="41">
                  <c:v>0.23986032307274113</c:v>
                </c:pt>
                <c:pt idx="42">
                  <c:v>0.23452486266179101</c:v>
                </c:pt>
                <c:pt idx="43">
                  <c:v>0.229402660694837</c:v>
                </c:pt>
                <c:pt idx="44">
                  <c:v>0.22448242274930261</c:v>
                </c:pt>
                <c:pt idx="45">
                  <c:v>0.21975355632483506</c:v>
                </c:pt>
                <c:pt idx="46">
                  <c:v>0.21520612266421008</c:v>
                </c:pt>
                <c:pt idx="47">
                  <c:v>0.21083079210602218</c:v>
                </c:pt>
                <c:pt idx="48">
                  <c:v>0.2066188026981208</c:v>
                </c:pt>
                <c:pt idx="49">
                  <c:v>0.20256192182226032</c:v>
                </c:pt>
                <c:pt idx="50">
                  <c:v>0.1986524106001829</c:v>
                </c:pt>
                <c:pt idx="51">
                  <c:v>0.19488299086950672</c:v>
                </c:pt>
                <c:pt idx="52">
                  <c:v>0.19124681453446907</c:v>
                </c:pt>
                <c:pt idx="53">
                  <c:v>0.18773743511190372</c:v>
                </c:pt>
                <c:pt idx="54">
                  <c:v>0.18434878130692356</c:v>
                </c:pt>
                <c:pt idx="55">
                  <c:v>0.18107513246573381</c:v>
                </c:pt>
                <c:pt idx="56">
                  <c:v>0.17791109576491373</c:v>
                </c:pt>
                <c:pt idx="57">
                  <c:v>0.17485158500746117</c:v>
                </c:pt>
                <c:pt idx="58">
                  <c:v>0.17189180090596967</c:v>
                </c:pt>
                <c:pt idx="59">
                  <c:v>0.16902721274258162</c:v>
                </c:pt>
                <c:pt idx="60">
                  <c:v>0.16625354130388895</c:v>
                </c:pt>
                <c:pt idx="61">
                  <c:v>0.1635667429968056</c:v>
                </c:pt>
                <c:pt idx="62">
                  <c:v>0.16096299505866199</c:v>
                </c:pt>
                <c:pt idx="63">
                  <c:v>0.15843868178142398</c:v>
                </c:pt>
                <c:pt idx="64">
                  <c:v>0.15599038167606655</c:v>
                </c:pt>
                <c:pt idx="65">
                  <c:v>0.15361485550877269</c:v>
                </c:pt>
                <c:pt idx="66">
                  <c:v>0.15130903514582605</c:v>
                </c:pt>
                <c:pt idx="67">
                  <c:v>0.14907001314885471</c:v>
                </c:pt>
                <c:pt idx="68">
                  <c:v>0.1468950330664934</c:v>
                </c:pt>
                <c:pt idx="69">
                  <c:v>0.14478148037260166</c:v>
                </c:pt>
                <c:pt idx="70">
                  <c:v>0.14272687400492079</c:v>
                </c:pt>
                <c:pt idx="71">
                  <c:v>0.14072885846151184</c:v>
                </c:pt>
                <c:pt idx="72">
                  <c:v>0.13878519641550324</c:v>
                </c:pt>
                <c:pt idx="73">
                  <c:v>0.13689376181161728</c:v>
                </c:pt>
                <c:pt idx="74">
                  <c:v>0.13505253341065815</c:v>
                </c:pt>
                <c:pt idx="75">
                  <c:v>0.13325958875064697</c:v>
                </c:pt>
                <c:pt idx="76">
                  <c:v>0.13151309849559992</c:v>
                </c:pt>
                <c:pt idx="77">
                  <c:v>0.12981132114507965</c:v>
                </c:pt>
                <c:pt idx="78">
                  <c:v>0.12815259807961796</c:v>
                </c:pt>
                <c:pt idx="79">
                  <c:v>0.12653534891892923</c:v>
                </c:pt>
                <c:pt idx="80">
                  <c:v>0.12495806717151219</c:v>
                </c:pt>
                <c:pt idx="81">
                  <c:v>0.12341931615579273</c:v>
                </c:pt>
                <c:pt idx="82">
                  <c:v>0.12191772517439363</c:v>
                </c:pt>
                <c:pt idx="83">
                  <c:v>0.12045198592444482</c:v>
                </c:pt>
                <c:pt idx="84">
                  <c:v>0.11902084912807395</c:v>
                </c:pt>
                <c:pt idx="85">
                  <c:v>0.11762312136835169</c:v>
                </c:pt>
                <c:pt idx="86">
                  <c:v>0.11625766211701541</c:v>
                </c:pt>
                <c:pt idx="87">
                  <c:v>0.11492338094126578</c:v>
                </c:pt>
                <c:pt idx="88">
                  <c:v>0.11361923487783004</c:v>
                </c:pt>
                <c:pt idx="89">
                  <c:v>0.11234422596331661</c:v>
                </c:pt>
                <c:pt idx="90">
                  <c:v>0.11109739891065704</c:v>
                </c:pt>
                <c:pt idx="91">
                  <c:v>0.10987783892214395</c:v>
                </c:pt>
                <c:pt idx="92">
                  <c:v>0.10868466963023508</c:v>
                </c:pt>
                <c:pt idx="93">
                  <c:v>0.10751705115790557</c:v>
                </c:pt>
                <c:pt idx="94">
                  <c:v>0.10637417829089822</c:v>
                </c:pt>
                <c:pt idx="95">
                  <c:v>0.10525527875474867</c:v>
                </c:pt>
                <c:pt idx="96">
                  <c:v>0.10415961158994885</c:v>
                </c:pt>
                <c:pt idx="97">
                  <c:v>0.10308646561906668</c:v>
                </c:pt>
                <c:pt idx="98">
                  <c:v>0.10203515800005793</c:v>
                </c:pt>
                <c:pt idx="99">
                  <c:v>0.10100503286039837</c:v>
                </c:pt>
                <c:pt idx="100">
                  <c:v>9.9995460007023751E-2</c:v>
                </c:pt>
                <c:pt idx="101">
                  <c:v>9.9005833707403429E-2</c:v>
                </c:pt>
                <c:pt idx="102">
                  <c:v>9.8035571537383903E-2</c:v>
                </c:pt>
                <c:pt idx="103">
                  <c:v>9.7084113291729543E-2</c:v>
                </c:pt>
                <c:pt idx="104">
                  <c:v>9.6150919953556888E-2</c:v>
                </c:pt>
                <c:pt idx="105">
                  <c:v>9.5235472719109551E-2</c:v>
                </c:pt>
                <c:pt idx="106">
                  <c:v>9.4337272074553613E-2</c:v>
                </c:pt>
                <c:pt idx="107">
                  <c:v>9.345583692169035E-2</c:v>
                </c:pt>
                <c:pt idx="108">
                  <c:v>9.2590703749684145E-2</c:v>
                </c:pt>
                <c:pt idx="109">
                  <c:v>9.1741425850092123E-2</c:v>
                </c:pt>
                <c:pt idx="110">
                  <c:v>9.0907572572655429E-2</c:v>
                </c:pt>
                <c:pt idx="111">
                  <c:v>9.0088728619475672E-2</c:v>
                </c:pt>
                <c:pt idx="112">
                  <c:v>8.928449337535127E-2</c:v>
                </c:pt>
                <c:pt idx="113">
                  <c:v>8.8494480272189216E-2</c:v>
                </c:pt>
                <c:pt idx="114">
                  <c:v>8.7718316185540116E-2</c:v>
                </c:pt>
                <c:pt idx="115">
                  <c:v>8.6955640861426209E-2</c:v>
                </c:pt>
                <c:pt idx="116">
                  <c:v>8.620610637174686E-2</c:v>
                </c:pt>
                <c:pt idx="117">
                  <c:v>8.5469376596652921E-2</c:v>
                </c:pt>
                <c:pt idx="118">
                  <c:v>8.4745126732380077E-2</c:v>
                </c:pt>
                <c:pt idx="119">
                  <c:v>8.4033042823125431E-2</c:v>
                </c:pt>
                <c:pt idx="120">
                  <c:v>8.3332821315637226E-2</c:v>
                </c:pt>
                <c:pt idx="121">
                  <c:v>8.2644168635269272E-2</c:v>
                </c:pt>
                <c:pt idx="122">
                  <c:v>8.1966800782327279E-2</c:v>
                </c:pt>
                <c:pt idx="123">
                  <c:v>8.130044294760462E-2</c:v>
                </c:pt>
                <c:pt idx="124">
                  <c:v>8.0644829146071975E-2</c:v>
                </c:pt>
                <c:pt idx="125">
                  <c:v>7.9999701867746242E-2</c:v>
                </c:pt>
                <c:pt idx="126">
                  <c:v>7.9364811744822683E-2</c:v>
                </c:pt>
                <c:pt idx="127">
                  <c:v>7.8739917234208021E-2</c:v>
                </c:pt>
                <c:pt idx="128">
                  <c:v>7.8124784314642814E-2</c:v>
                </c:pt>
                <c:pt idx="129">
                  <c:v>7.7519186197649165E-2</c:v>
                </c:pt>
                <c:pt idx="130">
                  <c:v>7.6922903051584085E-2</c:v>
                </c:pt>
                <c:pt idx="131">
                  <c:v>7.6335721738120255E-2</c:v>
                </c:pt>
                <c:pt idx="132">
                  <c:v>7.5757435560515327E-2</c:v>
                </c:pt>
                <c:pt idx="133">
                  <c:v>7.5187844023066955E-2</c:v>
                </c:pt>
                <c:pt idx="134">
                  <c:v>7.4626752601185661E-2</c:v>
                </c:pt>
                <c:pt idx="135">
                  <c:v>7.4073972521549153E-2</c:v>
                </c:pt>
                <c:pt idx="136">
                  <c:v>7.3529320551832353E-2</c:v>
                </c:pt>
                <c:pt idx="137">
                  <c:v>7.2992618799535378E-2</c:v>
                </c:pt>
                <c:pt idx="138">
                  <c:v>7.246369451945861E-2</c:v>
                </c:pt>
                <c:pt idx="139">
                  <c:v>7.1942379929398712E-2</c:v>
                </c:pt>
                <c:pt idx="140">
                  <c:v>7.1428512033662919E-2</c:v>
                </c:pt>
                <c:pt idx="141">
                  <c:v>7.0921932454021328E-2</c:v>
                </c:pt>
                <c:pt idx="142">
                  <c:v>7.0422487267737005E-2</c:v>
                </c:pt>
                <c:pt idx="143">
                  <c:v>6.9930026852333835E-2</c:v>
                </c:pt>
                <c:pt idx="144">
                  <c:v>6.9444405736779902E-2</c:v>
                </c:pt>
                <c:pt idx="145">
                  <c:v>6.8965482458781896E-2</c:v>
                </c:pt>
                <c:pt idx="146">
                  <c:v>6.849311942790158E-2</c:v>
                </c:pt>
                <c:pt idx="147">
                  <c:v>6.8027182794221652E-2</c:v>
                </c:pt>
                <c:pt idx="148">
                  <c:v>6.7567542322301485E-2</c:v>
                </c:pt>
                <c:pt idx="149">
                  <c:v>6.7114071270177961E-2</c:v>
                </c:pt>
                <c:pt idx="150">
                  <c:v>6.6666646273178629E-2</c:v>
                </c:pt>
                <c:pt idx="151">
                  <c:v>6.6225147232326753E-2</c:v>
                </c:pt>
                <c:pt idx="152">
                  <c:v>6.5789457207129129E-2</c:v>
                </c:pt>
                <c:pt idx="153">
                  <c:v>6.5359462312548175E-2</c:v>
                </c:pt>
                <c:pt idx="154">
                  <c:v>6.4935051619970291E-2</c:v>
                </c:pt>
                <c:pt idx="155">
                  <c:v>6.4516117061991202E-2</c:v>
                </c:pt>
                <c:pt idx="156">
                  <c:v>6.4102553340849161E-2</c:v>
                </c:pt>
                <c:pt idx="157">
                  <c:v>6.3694257840344146E-2</c:v>
                </c:pt>
                <c:pt idx="158">
                  <c:v>6.3291130541090326E-2</c:v>
                </c:pt>
                <c:pt idx="159">
                  <c:v>6.2893073938955824E-2</c:v>
                </c:pt>
                <c:pt idx="160">
                  <c:v>6.2499992966551579E-2</c:v>
                </c:pt>
                <c:pt idx="161">
                  <c:v>6.211179491763745E-2</c:v>
                </c:pt>
                <c:pt idx="162">
                  <c:v>6.1728389374320472E-2</c:v>
                </c:pt>
                <c:pt idx="163">
                  <c:v>6.1349688136925894E-2</c:v>
                </c:pt>
                <c:pt idx="164">
                  <c:v>6.0975605156427831E-2</c:v>
                </c:pt>
                <c:pt idx="165">
                  <c:v>6.0606056469331288E-2</c:v>
                </c:pt>
                <c:pt idx="166">
                  <c:v>6.02409601349028E-2</c:v>
                </c:pt>
                <c:pt idx="167">
                  <c:v>5.9880236174651859E-2</c:v>
                </c:pt>
                <c:pt idx="168">
                  <c:v>5.9523806513969435E-2</c:v>
                </c:pt>
                <c:pt idx="169">
                  <c:v>5.9171594925835035E-2</c:v>
                </c:pt>
                <c:pt idx="170">
                  <c:v>5.8823526976507223E-2</c:v>
                </c:pt>
                <c:pt idx="171">
                  <c:v>5.8479529973116631E-2</c:v>
                </c:pt>
                <c:pt idx="172">
                  <c:v>5.8139532913084692E-2</c:v>
                </c:pt>
                <c:pt idx="173">
                  <c:v>5.7803466435294049E-2</c:v>
                </c:pt>
                <c:pt idx="174">
                  <c:v>5.7471262772940658E-2</c:v>
                </c:pt>
                <c:pt idx="175">
                  <c:v>5.7142855708000484E-2</c:v>
                </c:pt>
                <c:pt idx="176">
                  <c:v>5.681818052724659E-2</c:v>
                </c:pt>
                <c:pt idx="177">
                  <c:v>5.6497173979755809E-2</c:v>
                </c:pt>
                <c:pt idx="178">
                  <c:v>5.6179774235846101E-2</c:v>
                </c:pt>
                <c:pt idx="179">
                  <c:v>5.5865920847389339E-2</c:v>
                </c:pt>
                <c:pt idx="180">
                  <c:v>5.5555554709445572E-2</c:v>
                </c:pt>
                <c:pt idx="181">
                  <c:v>5.5248618023168203E-2</c:v>
                </c:pt>
                <c:pt idx="182">
                  <c:v>5.4945054259931167E-2</c:v>
                </c:pt>
                <c:pt idx="183">
                  <c:v>5.464480812663134E-2</c:v>
                </c:pt>
                <c:pt idx="184">
                  <c:v>5.4347825532121696E-2</c:v>
                </c:pt>
                <c:pt idx="185">
                  <c:v>5.4054053554732452E-2</c:v>
                </c:pt>
                <c:pt idx="186">
                  <c:v>5.376344041083924E-2</c:v>
                </c:pt>
                <c:pt idx="187">
                  <c:v>5.3475935424439354E-2</c:v>
                </c:pt>
                <c:pt idx="188">
                  <c:v>5.3191488997698343E-2</c:v>
                </c:pt>
                <c:pt idx="189">
                  <c:v>5.2910052582431338E-2</c:v>
                </c:pt>
                <c:pt idx="190">
                  <c:v>5.2631578652484398E-2</c:v>
                </c:pt>
                <c:pt idx="191">
                  <c:v>5.235602067698325E-2</c:v>
                </c:pt>
                <c:pt idx="192">
                  <c:v>5.2083333094417608E-2</c:v>
                </c:pt>
                <c:pt idx="193">
                  <c:v>5.1813471287530895E-2</c:v>
                </c:pt>
                <c:pt idx="194">
                  <c:v>5.1546391558986243E-2</c:v>
                </c:pt>
                <c:pt idx="195">
                  <c:v>5.128205110778114E-2</c:v>
                </c:pt>
                <c:pt idx="196">
                  <c:v>5.1020408006383675E-2</c:v>
                </c:pt>
                <c:pt idx="197">
                  <c:v>5.076142117856515E-2</c:v>
                </c:pt>
                <c:pt idx="198">
                  <c:v>5.05050503779041E-2</c:v>
                </c:pt>
                <c:pt idx="199">
                  <c:v>5.0251256166938332E-2</c:v>
                </c:pt>
                <c:pt idx="200">
                  <c:v>4.9999999896942322E-2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94-406E-9684-BFAF5A63C695}"/>
            </c:ext>
          </c:extLst>
        </c:ser>
        <c:ser>
          <c:idx val="2"/>
          <c:order val="2"/>
          <c:tx>
            <c:strRef>
              <c:f>'Nelson-Siegel Curve OLS Fit'!$H$30</c:f>
              <c:strCache>
                <c:ptCount val="1"/>
                <c:pt idx="0">
                  <c:v>Factor 3</c:v>
                </c:pt>
              </c:strCache>
            </c:strRef>
          </c:tx>
          <c:marker>
            <c:symbol val="none"/>
          </c:marker>
          <c:xVal>
            <c:numRef>
              <c:f>'Nelson-Siegel Curve OLS Fit'!$E$31:$E$231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'Nelson-Siegel Curve OLS Fit'!$H$31:$H$231</c:f>
              <c:numCache>
                <c:formatCode>0.000000</c:formatCode>
                <c:ptCount val="201"/>
                <c:pt idx="0" formatCode="General">
                  <c:v>0</c:v>
                </c:pt>
                <c:pt idx="1">
                  <c:v>4.6788401604445307E-2</c:v>
                </c:pt>
                <c:pt idx="2">
                  <c:v>8.7615481532109074E-2</c:v>
                </c:pt>
                <c:pt idx="3">
                  <c:v>0.12312104371255572</c:v>
                </c:pt>
                <c:pt idx="4">
                  <c:v>0.15387983887526235</c:v>
                </c:pt>
                <c:pt idx="5">
                  <c:v>0.18040802086209973</c:v>
                </c:pt>
                <c:pt idx="6">
                  <c:v>0.20316897041592952</c:v>
                </c:pt>
                <c:pt idx="7">
                  <c:v>0.22257854793514847</c:v>
                </c:pt>
                <c:pt idx="8">
                  <c:v>0.23900983073625148</c:v>
                </c:pt>
                <c:pt idx="9">
                  <c:v>0.2527973849920685</c:v>
                </c:pt>
                <c:pt idx="10">
                  <c:v>0.26424111765711533</c:v>
                </c:pt>
                <c:pt idx="11">
                  <c:v>0.27360974930366627</c:v>
                </c:pt>
                <c:pt idx="12">
                  <c:v>0.28114394482762955</c:v>
                </c:pt>
                <c:pt idx="13">
                  <c:v>0.28705913540136235</c:v>
                </c:pt>
                <c:pt idx="14">
                  <c:v>0.29154806181438886</c:v>
                </c:pt>
                <c:pt idx="15">
                  <c:v>0.29478306641928365</c:v>
                </c:pt>
                <c:pt idx="16">
                  <c:v>0.29691815825868495</c:v>
                </c:pt>
                <c:pt idx="17">
                  <c:v>0.29809087356330377</c:v>
                </c:pt>
                <c:pt idx="18">
                  <c:v>0.29842395165530977</c:v>
                </c:pt>
                <c:pt idx="19">
                  <c:v>0.29802684434439908</c:v>
                </c:pt>
                <c:pt idx="20">
                  <c:v>0.29699707514508095</c:v>
                </c:pt>
                <c:pt idx="21">
                  <c:v>0.29542146305512196</c:v>
                </c:pt>
                <c:pt idx="22">
                  <c:v>0.29337722420024159</c:v>
                </c:pt>
                <c:pt idx="23">
                  <c:v>0.29093296335423813</c:v>
                </c:pt>
                <c:pt idx="24">
                  <c:v>0.28814956617333232</c:v>
                </c:pt>
                <c:pt idx="25">
                  <c:v>0.28508100192654168</c:v>
                </c:pt>
                <c:pt idx="26">
                  <c:v>0.28177504554938382</c:v>
                </c:pt>
                <c:pt idx="27">
                  <c:v>0.27827392698626885</c:v>
                </c:pt>
                <c:pt idx="28">
                  <c:v>0.27461491500863278</c:v>
                </c:pt>
                <c:pt idx="29">
                  <c:v>0.27083084199310753</c:v>
                </c:pt>
                <c:pt idx="30">
                  <c:v>0.26695057550951473</c:v>
                </c:pt>
                <c:pt idx="31">
                  <c:v>0.26299944199561709</c:v>
                </c:pt>
                <c:pt idx="32">
                  <c:v>0.25899960727839433</c:v>
                </c:pt>
                <c:pt idx="33">
                  <c:v>0.25497041823474786</c:v>
                </c:pt>
                <c:pt idx="34">
                  <c:v>0.25092870946310741</c:v>
                </c:pt>
                <c:pt idx="35">
                  <c:v>0.24688907845701905</c:v>
                </c:pt>
                <c:pt idx="36">
                  <c:v>0.24286413242845953</c:v>
                </c:pt>
                <c:pt idx="37">
                  <c:v>0.23886470961875805</c:v>
                </c:pt>
                <c:pt idx="38">
                  <c:v>0.2349000776553698</c:v>
                </c:pt>
                <c:pt idx="39">
                  <c:v>0.23097811126039958</c:v>
                </c:pt>
                <c:pt idx="40">
                  <c:v>0.22710545138908228</c:v>
                </c:pt>
                <c:pt idx="41">
                  <c:v>0.22328764767097989</c:v>
                </c:pt>
                <c:pt idx="42">
                  <c:v>0.21952928584131332</c:v>
                </c:pt>
                <c:pt idx="43">
                  <c:v>0.21583410168263606</c:v>
                </c:pt>
                <c:pt idx="44">
                  <c:v>0.21220508284623418</c:v>
                </c:pt>
                <c:pt idx="45">
                  <c:v>0.20864455978659277</c:v>
                </c:pt>
                <c:pt idx="46">
                  <c:v>0.20515428691957649</c:v>
                </c:pt>
                <c:pt idx="47">
                  <c:v>0.20173551500432638</c:v>
                </c:pt>
                <c:pt idx="48">
                  <c:v>0.19838905564910078</c:v>
                </c:pt>
                <c:pt idx="49">
                  <c:v>0.19511533875133599</c:v>
                </c:pt>
                <c:pt idx="50">
                  <c:v>0.19191446360109743</c:v>
                </c:pt>
                <c:pt idx="51">
                  <c:v>0.1887862443039911</c:v>
                </c:pt>
                <c:pt idx="52">
                  <c:v>0.18573025011370831</c:v>
                </c:pt>
                <c:pt idx="53">
                  <c:v>0.18274584120499351</c:v>
                </c:pt>
                <c:pt idx="54">
                  <c:v>0.17983220036431088</c:v>
                </c:pt>
                <c:pt idx="55">
                  <c:v>0.17698836102726975</c:v>
                </c:pt>
                <c:pt idx="56">
                  <c:v>0.17421323204843081</c:v>
                </c:pt>
                <c:pt idx="57">
                  <c:v>0.17150561954998991</c:v>
                </c:pt>
                <c:pt idx="58">
                  <c:v>0.16886424616059387</c:v>
                </c:pt>
                <c:pt idx="59">
                  <c:v>0.16628776792381325</c:v>
                </c:pt>
                <c:pt idx="60">
                  <c:v>0.1637747891272226</c:v>
                </c:pt>
                <c:pt idx="61">
                  <c:v>0.16132387527731978</c:v>
                </c:pt>
                <c:pt idx="62">
                  <c:v>0.15893356442236625</c:v>
                </c:pt>
                <c:pt idx="63">
                  <c:v>0.15660237700439508</c:v>
                </c:pt>
                <c:pt idx="64">
                  <c:v>0.15432882440289261</c:v>
                </c:pt>
                <c:pt idx="65">
                  <c:v>0.15211141631579511</c:v>
                </c:pt>
                <c:pt idx="66">
                  <c:v>0.14994866710827817</c:v>
                </c:pt>
                <c:pt idx="67">
                  <c:v>0.14783910124618121</c:v>
                </c:pt>
                <c:pt idx="68">
                  <c:v>0.1457812579186486</c:v>
                </c:pt>
                <c:pt idx="69">
                  <c:v>0.14377369494355316</c:v>
                </c:pt>
                <c:pt idx="70">
                  <c:v>0.14181499203936626</c:v>
                </c:pt>
                <c:pt idx="71">
                  <c:v>0.13990375353824594</c:v>
                </c:pt>
                <c:pt idx="72">
                  <c:v>0.13803861060712655</c:v>
                </c:pt>
                <c:pt idx="73">
                  <c:v>0.13621822303642342</c:v>
                </c:pt>
                <c:pt idx="74">
                  <c:v>0.13444128064952857</c:v>
                </c:pt>
                <c:pt idx="75">
                  <c:v>0.13270650438049914</c:v>
                </c:pt>
                <c:pt idx="76">
                  <c:v>0.13101264706215932</c:v>
                </c:pt>
                <c:pt idx="77">
                  <c:v>0.12935849396219284</c:v>
                </c:pt>
                <c:pt idx="78">
                  <c:v>0.12774286310063818</c:v>
                </c:pt>
                <c:pt idx="79">
                  <c:v>0.12616460537847013</c:v>
                </c:pt>
                <c:pt idx="80">
                  <c:v>0.12462260454360967</c:v>
                </c:pt>
                <c:pt idx="81">
                  <c:v>0.12311577701771385</c:v>
                </c:pt>
                <c:pt idx="82">
                  <c:v>0.12164307160442149</c:v>
                </c:pt>
                <c:pt idx="83">
                  <c:v>0.12020346909733687</c:v>
                </c:pt>
                <c:pt idx="84">
                  <c:v>0.1187959818038951</c:v>
                </c:pt>
                <c:pt idx="85">
                  <c:v>0.11741965299934105</c:v>
                </c:pt>
                <c:pt idx="86">
                  <c:v>0.11607355632334783</c:v>
                </c:pt>
                <c:pt idx="87">
                  <c:v>0.11475679513027814</c:v>
                </c:pt>
                <c:pt idx="88">
                  <c:v>0.11346850180273457</c:v>
                </c:pt>
                <c:pt idx="89">
                  <c:v>0.1122078370368346</c:v>
                </c:pt>
                <c:pt idx="90">
                  <c:v>0.11097398910657036</c:v>
                </c:pt>
                <c:pt idx="91">
                  <c:v>0.10976617311365383</c:v>
                </c:pt>
                <c:pt idx="92">
                  <c:v>0.108583630228398</c:v>
                </c:pt>
                <c:pt idx="93">
                  <c:v>0.10742562692642739</c:v>
                </c:pt>
                <c:pt idx="94">
                  <c:v>0.10629145422534159</c:v>
                </c:pt>
                <c:pt idx="95">
                  <c:v>0.10518042692486097</c:v>
                </c:pt>
                <c:pt idx="96">
                  <c:v>0.104091882853458</c:v>
                </c:pt>
                <c:pt idx="97">
                  <c:v>0.10302518212401346</c:v>
                </c:pt>
                <c:pt idx="98">
                  <c:v>0.10197970640062574</c:v>
                </c:pt>
                <c:pt idx="99">
                  <c:v>0.1009548581783422</c:v>
                </c:pt>
                <c:pt idx="100">
                  <c:v>9.995006007726126E-2</c:v>
                </c:pt>
                <c:pt idx="101">
                  <c:v>9.8964754152178133E-2</c:v>
                </c:pt>
                <c:pt idx="102">
                  <c:v>9.7998401218699779E-2</c:v>
                </c:pt>
                <c:pt idx="103">
                  <c:v>9.7050480196543817E-2</c:v>
                </c:pt>
                <c:pt idx="104">
                  <c:v>9.612048747054848E-2</c:v>
                </c:pt>
                <c:pt idx="105">
                  <c:v>9.5207936269759805E-2</c:v>
                </c:pt>
                <c:pt idx="106">
                  <c:v>9.4312356064822106E-2</c:v>
                </c:pt>
                <c:pt idx="107">
                  <c:v>9.3433291983777131E-2</c:v>
                </c:pt>
                <c:pt idx="108">
                  <c:v>9.2570304246272966E-2</c:v>
                </c:pt>
                <c:pt idx="109">
                  <c:v>9.1722967616096343E-2</c:v>
                </c:pt>
                <c:pt idx="110">
                  <c:v>9.089087087186519E-2</c:v>
                </c:pt>
                <c:pt idx="111">
                  <c:v>9.0073616295655815E-2</c:v>
                </c:pt>
                <c:pt idx="112">
                  <c:v>8.9270819179285588E-2</c:v>
                </c:pt>
                <c:pt idx="113">
                  <c:v>8.8482107347927427E-2</c:v>
                </c:pt>
                <c:pt idx="114">
                  <c:v>8.7707120700697527E-2</c:v>
                </c:pt>
                <c:pt idx="115">
                  <c:v>8.6945510767827583E-2</c:v>
                </c:pt>
                <c:pt idx="116">
                  <c:v>8.6196940284010606E-2</c:v>
                </c:pt>
                <c:pt idx="117">
                  <c:v>8.5461082777492162E-2</c:v>
                </c:pt>
                <c:pt idx="118">
                  <c:v>8.4737622174464997E-2</c:v>
                </c:pt>
                <c:pt idx="119">
                  <c:v>8.4026252418318056E-2</c:v>
                </c:pt>
                <c:pt idx="120">
                  <c:v>8.3326677103283897E-2</c:v>
                </c:pt>
                <c:pt idx="121">
                  <c:v>8.2638609122027626E-2</c:v>
                </c:pt>
                <c:pt idx="122">
                  <c:v>8.1961770326720168E-2</c:v>
                </c:pt>
                <c:pt idx="123">
                  <c:v>8.129589120314154E-2</c:v>
                </c:pt>
                <c:pt idx="124">
                  <c:v>8.0640710557364437E-2</c:v>
                </c:pt>
                <c:pt idx="125">
                  <c:v>7.9995975214574161E-2</c:v>
                </c:pt>
                <c:pt idx="126">
                  <c:v>7.9361439729588548E-2</c:v>
                </c:pt>
                <c:pt idx="127">
                  <c:v>7.873686610864998E-2</c:v>
                </c:pt>
                <c:pt idx="128">
                  <c:v>7.8122023542070776E-2</c:v>
                </c:pt>
                <c:pt idx="129">
                  <c:v>7.7516688147323293E-2</c:v>
                </c:pt>
                <c:pt idx="130">
                  <c:v>7.6920642722177107E-2</c:v>
                </c:pt>
                <c:pt idx="131">
                  <c:v>7.6333676507495729E-2</c:v>
                </c:pt>
                <c:pt idx="132">
                  <c:v>7.5755584959317751E-2</c:v>
                </c:pt>
                <c:pt idx="133">
                  <c:v>7.5186169529857516E-2</c:v>
                </c:pt>
                <c:pt idx="134">
                  <c:v>7.4625237457073515E-2</c:v>
                </c:pt>
                <c:pt idx="135">
                  <c:v>7.4072601562462773E-2</c:v>
                </c:pt>
                <c:pt idx="136">
                  <c:v>7.352808005675239E-2</c:v>
                </c:pt>
                <c:pt idx="137">
                  <c:v>7.2991496353170149E-2</c:v>
                </c:pt>
                <c:pt idx="138">
                  <c:v>7.2462678887987603E-2</c:v>
                </c:pt>
                <c:pt idx="139">
                  <c:v>7.1941460948040811E-2</c:v>
                </c:pt>
                <c:pt idx="140">
                  <c:v>7.1427680504943816E-2</c:v>
                </c:pt>
                <c:pt idx="141">
                  <c:v>7.0921180055722108E-2</c:v>
                </c:pt>
                <c:pt idx="142">
                  <c:v>7.042180646960261E-2</c:v>
                </c:pt>
                <c:pt idx="143">
                  <c:v>6.9929410840707709E-2</c:v>
                </c:pt>
                <c:pt idx="144">
                  <c:v>6.9443848346410639E-2</c:v>
                </c:pt>
                <c:pt idx="145">
                  <c:v>6.8964978111119332E-2</c:v>
                </c:pt>
                <c:pt idx="146">
                  <c:v>6.849266307526479E-2</c:v>
                </c:pt>
                <c:pt idx="147">
                  <c:v>6.8026769869280065E-2</c:v>
                </c:pt>
                <c:pt idx="148">
                  <c:v>6.7567168692363497E-2</c:v>
                </c:pt>
                <c:pt idx="149">
                  <c:v>6.711373319582957E-2</c:v>
                </c:pt>
                <c:pt idx="150">
                  <c:v>6.6666340370858126E-2</c:v>
                </c:pt>
                <c:pt idx="151">
                  <c:v>6.6224870440460895E-2</c:v>
                </c:pt>
                <c:pt idx="152">
                  <c:v>6.5789206755491894E-2</c:v>
                </c:pt>
                <c:pt idx="153">
                  <c:v>6.5359235694535403E-2</c:v>
                </c:pt>
                <c:pt idx="154">
                  <c:v>6.4934846567512736E-2</c:v>
                </c:pt>
                <c:pt idx="155">
                  <c:v>6.4515931522854938E-2</c:v>
                </c:pt>
                <c:pt idx="156">
                  <c:v>6.4102385458096156E-2</c:v>
                </c:pt>
                <c:pt idx="157">
                  <c:v>6.3694105933747386E-2</c:v>
                </c:pt>
                <c:pt idx="158">
                  <c:v>6.3290993090317535E-2</c:v>
                </c:pt>
                <c:pt idx="159">
                  <c:v>6.2892949568353465E-2</c:v>
                </c:pt>
                <c:pt idx="160">
                  <c:v>6.2499880431376859E-2</c:v>
                </c:pt>
                <c:pt idx="161">
                  <c:v>6.2111693091600521E-2</c:v>
                </c:pt>
                <c:pt idx="162">
                  <c:v>6.1728297238312128E-2</c:v>
                </c:pt>
                <c:pt idx="163">
                  <c:v>6.1349604768817997E-2</c:v>
                </c:pt>
                <c:pt idx="164">
                  <c:v>6.0975529721844335E-2</c:v>
                </c:pt>
                <c:pt idx="165">
                  <c:v>6.0605988213297525E-2</c:v>
                </c:pt>
                <c:pt idx="166">
                  <c:v>6.0240898374289448E-2</c:v>
                </c:pt>
                <c:pt idx="167">
                  <c:v>5.9880180291337931E-2</c:v>
                </c:pt>
                <c:pt idx="168">
                  <c:v>5.952375594865595E-2</c:v>
                </c:pt>
                <c:pt idx="169">
                  <c:v>5.9171549172447338E-2</c:v>
                </c:pt>
                <c:pt idx="170">
                  <c:v>5.8823485577130033E-2</c:v>
                </c:pt>
                <c:pt idx="171">
                  <c:v>5.8479492513411072E-2</c:v>
                </c:pt>
                <c:pt idx="172">
                  <c:v>5.813949901814143E-2</c:v>
                </c:pt>
                <c:pt idx="173">
                  <c:v>5.7803435765881102E-2</c:v>
                </c:pt>
                <c:pt idx="174">
                  <c:v>5.7471235022108234E-2</c:v>
                </c:pt>
                <c:pt idx="175">
                  <c:v>5.7142830598008926E-2</c:v>
                </c:pt>
                <c:pt idx="176">
                  <c:v>5.6818157806786659E-2</c:v>
                </c:pt>
                <c:pt idx="177">
                  <c:v>5.6497153421433514E-2</c:v>
                </c:pt>
                <c:pt idx="178">
                  <c:v>5.6179755633906835E-2</c:v>
                </c:pt>
                <c:pt idx="179">
                  <c:v>5.5865904015658642E-2</c:v>
                </c:pt>
                <c:pt idx="180">
                  <c:v>5.5555539479465829E-2</c:v>
                </c:pt>
                <c:pt idx="181">
                  <c:v>5.5248604242512656E-2</c:v>
                </c:pt>
                <c:pt idx="182">
                  <c:v>5.4945041790678384E-2</c:v>
                </c:pt>
                <c:pt idx="183">
                  <c:v>5.4644796843984843E-2</c:v>
                </c:pt>
                <c:pt idx="184">
                  <c:v>5.4347815323160971E-2</c:v>
                </c:pt>
                <c:pt idx="185">
                  <c:v>5.4054044317282793E-2</c:v>
                </c:pt>
                <c:pt idx="186">
                  <c:v>5.3763432052449142E-2</c:v>
                </c:pt>
                <c:pt idx="187">
                  <c:v>5.3475927861455233E-2</c:v>
                </c:pt>
                <c:pt idx="188">
                  <c:v>5.3191482154427323E-2</c:v>
                </c:pt>
                <c:pt idx="189">
                  <c:v>5.2910046390383658E-2</c:v>
                </c:pt>
                <c:pt idx="190">
                  <c:v>5.2631573049687963E-2</c:v>
                </c:pt>
                <c:pt idx="191">
                  <c:v>5.2356015607363388E-2</c:v>
                </c:pt>
                <c:pt idx="192">
                  <c:v>5.2083328507235863E-2</c:v>
                </c:pt>
                <c:pt idx="193">
                  <c:v>5.1813467136877206E-2</c:v>
                </c:pt>
                <c:pt idx="194">
                  <c:v>5.1546387803319479E-2</c:v>
                </c:pt>
                <c:pt idx="195">
                  <c:v>5.128204770951332E-2</c:v>
                </c:pt>
                <c:pt idx="196">
                  <c:v>5.1020404931503796E-2</c:v>
                </c:pt>
                <c:pt idx="197">
                  <c:v>5.0761418396298781E-2</c:v>
                </c:pt>
                <c:pt idx="198">
                  <c:v>5.0505047860405383E-2</c:v>
                </c:pt>
                <c:pt idx="199">
                  <c:v>5.0251253889011291E-2</c:v>
                </c:pt>
                <c:pt idx="200">
                  <c:v>4.99999978357887E-2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94-406E-9684-BFAF5A63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04832"/>
        <c:axId val="144282752"/>
      </c:scatterChart>
      <c:valAx>
        <c:axId val="144104832"/>
        <c:scaling>
          <c:orientation val="minMax"/>
          <c:max val="50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282752"/>
        <c:crossesAt val="-100"/>
        <c:crossBetween val="midCat"/>
      </c:valAx>
      <c:valAx>
        <c:axId val="144282752"/>
        <c:scaling>
          <c:orientation val="minMax"/>
        </c:scaling>
        <c:delete val="0"/>
        <c:axPos val="l"/>
        <c:majorGridlines/>
        <c:numFmt formatCode="#,##0.0000" sourceLinked="0"/>
        <c:majorTickMark val="out"/>
        <c:minorTickMark val="none"/>
        <c:tickLblPos val="nextTo"/>
        <c:crossAx val="14410483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4952390664674445"/>
          <c:y val="0.94366569968227654"/>
          <c:w val="0.48640011549990375"/>
          <c:h val="4.229921259842519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Yield</a:t>
            </a:r>
            <a:r>
              <a:rPr lang="en-US" sz="1400" baseline="0"/>
              <a:t> Curve</a:t>
            </a:r>
            <a:endParaRPr lang="en-US" sz="14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940131404057163E-2"/>
          <c:y val="7.5304139614127186E-2"/>
          <c:w val="0.8913672129231559"/>
          <c:h val="0.86609550122024226"/>
        </c:manualLayout>
      </c:layout>
      <c:scatterChart>
        <c:scatterStyle val="lineMarker"/>
        <c:varyColors val="0"/>
        <c:ser>
          <c:idx val="3"/>
          <c:order val="0"/>
          <c:tx>
            <c:strRef>
              <c:f>'Nelson-Siegel Curve OLS Fit'!$I$30</c:f>
              <c:strCache>
                <c:ptCount val="1"/>
                <c:pt idx="0">
                  <c:v>Yield</c:v>
                </c:pt>
              </c:strCache>
            </c:strRef>
          </c:tx>
          <c:marker>
            <c:symbol val="none"/>
          </c:marker>
          <c:xVal>
            <c:numRef>
              <c:f>'Nelson-Siegel Curve OLS Fit'!$E$31:$E$231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'Nelson-Siegel Curve OLS Fit'!$I$31:$I$231</c:f>
              <c:numCache>
                <c:formatCode>0.00000</c:formatCode>
                <c:ptCount val="201"/>
                <c:pt idx="0">
                  <c:v>4.4129983711622106E-2</c:v>
                </c:pt>
                <c:pt idx="1">
                  <c:v>4.3236207634763803E-2</c:v>
                </c:pt>
                <c:pt idx="2">
                  <c:v>4.24840046024519E-2</c:v>
                </c:pt>
                <c:pt idx="3">
                  <c:v>4.1857186025559004E-2</c:v>
                </c:pt>
                <c:pt idx="4">
                  <c:v>4.1341259985427509E-2</c:v>
                </c:pt>
                <c:pt idx="5">
                  <c:v>4.0923259822101904E-2</c:v>
                </c:pt>
                <c:pt idx="6">
                  <c:v>4.0591589713476671E-2</c:v>
                </c:pt>
                <c:pt idx="7">
                  <c:v>4.0335885579867579E-2</c:v>
                </c:pt>
                <c:pt idx="8">
                  <c:v>4.0146889810611007E-2</c:v>
                </c:pt>
                <c:pt idx="9">
                  <c:v>4.0016338455692996E-2</c:v>
                </c:pt>
                <c:pt idx="10">
                  <c:v>3.9936859657621379E-2</c:v>
                </c:pt>
                <c:pt idx="11">
                  <c:v>3.9901882218150955E-2</c:v>
                </c:pt>
                <c:pt idx="12">
                  <c:v>3.9905553302290141E-2</c:v>
                </c:pt>
                <c:pt idx="13">
                  <c:v>3.9942664379377463E-2</c:v>
                </c:pt>
                <c:pt idx="14">
                  <c:v>4.0008584588927004E-2</c:v>
                </c:pt>
                <c:pt idx="15">
                  <c:v>4.0099200798318385E-2</c:v>
                </c:pt>
                <c:pt idx="16">
                  <c:v>4.021086369107281E-2</c:v>
                </c:pt>
                <c:pt idx="17">
                  <c:v>4.0340339289158846E-2</c:v>
                </c:pt>
                <c:pt idx="18">
                  <c:v>4.048476537118377E-2</c:v>
                </c:pt>
                <c:pt idx="19">
                  <c:v>4.0641612301056437E-2</c:v>
                </c:pt>
                <c:pt idx="20">
                  <c:v>4.0808647829306856E-2</c:v>
                </c:pt>
                <c:pt idx="21">
                  <c:v>4.0983905472212437E-2</c:v>
                </c:pt>
                <c:pt idx="22">
                  <c:v>4.1165656112660119E-2</c:v>
                </c:pt>
                <c:pt idx="23">
                  <c:v>4.1352382501673411E-2</c:v>
                </c:pt>
                <c:pt idx="24">
                  <c:v>4.1542756371119836E-2</c:v>
                </c:pt>
                <c:pt idx="25">
                  <c:v>4.1735617896618782E-2</c:v>
                </c:pt>
                <c:pt idx="26">
                  <c:v>4.1929957275391047E-2</c:v>
                </c:pt>
                <c:pt idx="27">
                  <c:v>4.212489820700014E-2</c:v>
                </c:pt>
                <c:pt idx="28">
                  <c:v>4.2319683085874998E-2</c:v>
                </c:pt>
                <c:pt idx="29">
                  <c:v>4.2513659733395409E-2</c:v>
                </c:pt>
                <c:pt idx="30">
                  <c:v>4.2706269514363467E-2</c:v>
                </c:pt>
                <c:pt idx="31">
                  <c:v>4.2897036698057646E-2</c:v>
                </c:pt>
                <c:pt idx="32">
                  <c:v>4.3085558937931465E-2</c:v>
                </c:pt>
                <c:pt idx="33">
                  <c:v>4.3271498756524925E-2</c:v>
                </c:pt>
                <c:pt idx="34">
                  <c:v>4.3454575933434464E-2</c:v>
                </c:pt>
                <c:pt idx="35">
                  <c:v>4.3634560704357221E-2</c:v>
                </c:pt>
                <c:pt idx="36">
                  <c:v>4.3811267688395134E-2</c:v>
                </c:pt>
                <c:pt idx="37">
                  <c:v>4.3984550469071598E-2</c:v>
                </c:pt>
                <c:pt idx="38">
                  <c:v>4.4154296761966368E-2</c:v>
                </c:pt>
                <c:pt idx="39">
                  <c:v>4.4320424108592431E-2</c:v>
                </c:pt>
                <c:pt idx="40">
                  <c:v>4.4482876042193469E-2</c:v>
                </c:pt>
                <c:pt idx="41">
                  <c:v>4.4641618676597612E-2</c:v>
                </c:pt>
                <c:pt idx="42">
                  <c:v>4.4796637674179934E-2</c:v>
                </c:pt>
                <c:pt idx="43">
                  <c:v>4.4947935553417001E-2</c:v>
                </c:pt>
                <c:pt idx="44">
                  <c:v>4.5095529300507642E-2</c:v>
                </c:pt>
                <c:pt idx="45">
                  <c:v>4.5239448253129678E-2</c:v>
                </c:pt>
                <c:pt idx="46">
                  <c:v>4.5379732227640225E-2</c:v>
                </c:pt>
                <c:pt idx="47">
                  <c:v>4.5516429863943268E-2</c:v>
                </c:pt>
                <c:pt idx="48">
                  <c:v>4.5649597164873851E-2</c:v>
                </c:pt>
                <c:pt idx="49">
                  <c:v>4.5779296209311815E-2</c:v>
                </c:pt>
                <c:pt idx="50">
                  <c:v>4.5905594020365779E-2</c:v>
                </c:pt>
                <c:pt idx="51">
                  <c:v>4.6028561571883002E-2</c:v>
                </c:pt>
                <c:pt idx="52">
                  <c:v>4.6148272918263594E-2</c:v>
                </c:pt>
                <c:pt idx="53">
                  <c:v>4.6264804434107937E-2</c:v>
                </c:pt>
                <c:pt idx="54">
                  <c:v>4.6378234151620581E-2</c:v>
                </c:pt>
                <c:pt idx="55">
                  <c:v>4.6488641184947735E-2</c:v>
                </c:pt>
                <c:pt idx="56">
                  <c:v>4.6596105231753324E-2</c:v>
                </c:pt>
                <c:pt idx="57">
                  <c:v>4.6700706143351881E-2</c:v>
                </c:pt>
                <c:pt idx="58">
                  <c:v>4.6802523555628028E-2</c:v>
                </c:pt>
                <c:pt idx="59">
                  <c:v>4.6901636573790387E-2</c:v>
                </c:pt>
                <c:pt idx="60">
                  <c:v>4.6998123504743763E-2</c:v>
                </c:pt>
                <c:pt idx="61">
                  <c:v>4.7092061631523276E-2</c:v>
                </c:pt>
                <c:pt idx="62">
                  <c:v>4.7183527024827657E-2</c:v>
                </c:pt>
                <c:pt idx="63">
                  <c:v>4.727259438722102E-2</c:v>
                </c:pt>
                <c:pt idx="64">
                  <c:v>4.7359336926050009E-2</c:v>
                </c:pt>
                <c:pt idx="65">
                  <c:v>4.7443826251551989E-2</c:v>
                </c:pt>
                <c:pt idx="66">
                  <c:v>4.7526132297013954E-2</c:v>
                </c:pt>
                <c:pt idx="67">
                  <c:v>4.7606323258186603E-2</c:v>
                </c:pt>
                <c:pt idx="68">
                  <c:v>4.7684465549466544E-2</c:v>
                </c:pt>
                <c:pt idx="69">
                  <c:v>4.7760623774636343E-2</c:v>
                </c:pt>
                <c:pt idx="70">
                  <c:v>4.7834860710199704E-2</c:v>
                </c:pt>
                <c:pt idx="71">
                  <c:v>4.79072372995707E-2</c:v>
                </c:pt>
                <c:pt idx="72">
                  <c:v>4.7977812656574526E-2</c:v>
                </c:pt>
                <c:pt idx="73">
                  <c:v>4.804664407689431E-2</c:v>
                </c:pt>
                <c:pt idx="74">
                  <c:v>4.8113787056257185E-2</c:v>
                </c:pt>
                <c:pt idx="75">
                  <c:v>4.8179295314294684E-2</c:v>
                </c:pt>
                <c:pt idx="76">
                  <c:v>4.8243220823138325E-2</c:v>
                </c:pt>
                <c:pt idx="77">
                  <c:v>4.8305613839924821E-2</c:v>
                </c:pt>
                <c:pt idx="78">
                  <c:v>4.8366522942485411E-2</c:v>
                </c:pt>
                <c:pt idx="79">
                  <c:v>4.8425995067583688E-2</c:v>
                </c:pt>
                <c:pt idx="80">
                  <c:v>4.848407555114604E-2</c:v>
                </c:pt>
                <c:pt idx="81">
                  <c:v>4.8540808169999901E-2</c:v>
                </c:pt>
                <c:pt idx="82">
                  <c:v>4.8596235184698112E-2</c:v>
                </c:pt>
                <c:pt idx="83">
                  <c:v>4.8650397383063683E-2</c:v>
                </c:pt>
                <c:pt idx="84">
                  <c:v>4.8703334124139283E-2</c:v>
                </c:pt>
                <c:pt idx="85">
                  <c:v>4.8755083382269374E-2</c:v>
                </c:pt>
                <c:pt idx="86">
                  <c:v>4.880568179108262E-2</c:v>
                </c:pt>
                <c:pt idx="87">
                  <c:v>4.8855164687176128E-2</c:v>
                </c:pt>
                <c:pt idx="88">
                  <c:v>4.8903566153333834E-2</c:v>
                </c:pt>
                <c:pt idx="89">
                  <c:v>4.8950919061138375E-2</c:v>
                </c:pt>
                <c:pt idx="90">
                  <c:v>4.8997255112859094E-2</c:v>
                </c:pt>
                <c:pt idx="91">
                  <c:v>4.9042604882519922E-2</c:v>
                </c:pt>
                <c:pt idx="92">
                  <c:v>4.9086997856069056E-2</c:v>
                </c:pt>
                <c:pt idx="93">
                  <c:v>4.91304624705882E-2</c:v>
                </c:pt>
                <c:pt idx="94">
                  <c:v>4.9173026152493235E-2</c:v>
                </c:pt>
                <c:pt idx="95">
                  <c:v>4.9214715354690276E-2</c:v>
                </c:pt>
                <c:pt idx="96">
                  <c:v>4.9255555592661537E-2</c:v>
                </c:pt>
                <c:pt idx="97">
                  <c:v>4.9295571479464673E-2</c:v>
                </c:pt>
                <c:pt idx="98">
                  <c:v>4.9334786759637081E-2</c:v>
                </c:pt>
                <c:pt idx="99">
                  <c:v>4.9373224342003322E-2</c:v>
                </c:pt>
                <c:pt idx="100">
                  <c:v>4.9410906331389753E-2</c:v>
                </c:pt>
                <c:pt idx="101">
                  <c:v>4.9447854059255197E-2</c:v>
                </c:pt>
                <c:pt idx="102">
                  <c:v>4.9484088113250682E-2</c:v>
                </c:pt>
                <c:pt idx="103">
                  <c:v>4.9519628365724731E-2</c:v>
                </c:pt>
                <c:pt idx="104">
                  <c:v>4.955449400119348E-2</c:v>
                </c:pt>
                <c:pt idx="105">
                  <c:v>4.9588703542797381E-2</c:v>
                </c:pt>
                <c:pt idx="106">
                  <c:v>4.962227487776795E-2</c:v>
                </c:pt>
                <c:pt idx="107">
                  <c:v>4.9655225281929567E-2</c:v>
                </c:pt>
                <c:pt idx="108">
                  <c:v>4.9687571443262517E-2</c:v>
                </c:pt>
                <c:pt idx="109">
                  <c:v>4.9719329484554244E-2</c:v>
                </c:pt>
                <c:pt idx="110">
                  <c:v>4.9750514985166312E-2</c:v>
                </c:pt>
                <c:pt idx="111">
                  <c:v>4.978114300194502E-2</c:v>
                </c:pt>
                <c:pt idx="112">
                  <c:v>4.9811228089303577E-2</c:v>
                </c:pt>
                <c:pt idx="113">
                  <c:v>4.9840784318504014E-2</c:v>
                </c:pt>
                <c:pt idx="114">
                  <c:v>4.9869825296166487E-2</c:v>
                </c:pt>
                <c:pt idx="115">
                  <c:v>4.9898364182033653E-2</c:v>
                </c:pt>
                <c:pt idx="116">
                  <c:v>4.9926413706017213E-2</c:v>
                </c:pt>
                <c:pt idx="117">
                  <c:v>4.995398618455342E-2</c:v>
                </c:pt>
                <c:pt idx="118">
                  <c:v>4.9981093536293555E-2</c:v>
                </c:pt>
                <c:pt idx="119">
                  <c:v>5.0007747297155188E-2</c:v>
                </c:pt>
                <c:pt idx="120">
                  <c:v>5.0033958634758874E-2</c:v>
                </c:pt>
                <c:pt idx="121">
                  <c:v>5.0059738362274904E-2</c:v>
                </c:pt>
                <c:pt idx="122">
                  <c:v>5.0085096951703323E-2</c:v>
                </c:pt>
                <c:pt idx="123">
                  <c:v>5.0110044546610374E-2</c:v>
                </c:pt>
                <c:pt idx="124">
                  <c:v>5.0134590974343342E-2</c:v>
                </c:pt>
                <c:pt idx="125">
                  <c:v>5.0158745757745322E-2</c:v>
                </c:pt>
                <c:pt idx="126">
                  <c:v>5.0182518126390449E-2</c:v>
                </c:pt>
                <c:pt idx="127">
                  <c:v>5.0205917027359687E-2</c:v>
                </c:pt>
                <c:pt idx="128">
                  <c:v>5.0228951135576294E-2</c:v>
                </c:pt>
                <c:pt idx="129">
                  <c:v>5.0251628863719582E-2</c:v>
                </c:pt>
                <c:pt idx="130">
                  <c:v>5.0273958371734651E-2</c:v>
                </c:pt>
                <c:pt idx="131">
                  <c:v>5.0295947575955367E-2</c:v>
                </c:pt>
                <c:pt idx="132">
                  <c:v>5.0317604157856889E-2</c:v>
                </c:pt>
                <c:pt idx="133">
                  <c:v>5.0338935572453697E-2</c:v>
                </c:pt>
                <c:pt idx="134">
                  <c:v>5.03599490563581E-2</c:v>
                </c:pt>
                <c:pt idx="135">
                  <c:v>5.0380651635513932E-2</c:v>
                </c:pt>
                <c:pt idx="136">
                  <c:v>5.040105013261921E-2</c:v>
                </c:pt>
                <c:pt idx="137">
                  <c:v>5.0421151174251236E-2</c:v>
                </c:pt>
                <c:pt idx="138">
                  <c:v>5.0440961197706823E-2</c:v>
                </c:pt>
                <c:pt idx="139">
                  <c:v>5.0460486457569967E-2</c:v>
                </c:pt>
                <c:pt idx="140">
                  <c:v>5.047973303201865E-2</c:v>
                </c:pt>
                <c:pt idx="141">
                  <c:v>5.0498706828881905E-2</c:v>
                </c:pt>
                <c:pt idx="142">
                  <c:v>5.0517413591458032E-2</c:v>
                </c:pt>
                <c:pt idx="143">
                  <c:v>5.0535858904104079E-2</c:v>
                </c:pt>
                <c:pt idx="144">
                  <c:v>5.0554048197606484E-2</c:v>
                </c:pt>
                <c:pt idx="145">
                  <c:v>5.0571986754342137E-2</c:v>
                </c:pt>
                <c:pt idx="146">
                  <c:v>5.0589679713239036E-2</c:v>
                </c:pt>
                <c:pt idx="147">
                  <c:v>5.0607132074544793E-2</c:v>
                </c:pt>
                <c:pt idx="148">
                  <c:v>5.0624348704411543E-2</c:v>
                </c:pt>
                <c:pt idx="149">
                  <c:v>5.0641334339304719E-2</c:v>
                </c:pt>
                <c:pt idx="150">
                  <c:v>5.0658093590243404E-2</c:v>
                </c:pt>
                <c:pt idx="151">
                  <c:v>5.0674630946879351E-2</c:v>
                </c:pt>
                <c:pt idx="152">
                  <c:v>5.0690950781421405E-2</c:v>
                </c:pt>
                <c:pt idx="153">
                  <c:v>5.0707057352411947E-2</c:v>
                </c:pt>
                <c:pt idx="154">
                  <c:v>5.0722954808361476E-2</c:v>
                </c:pt>
                <c:pt idx="155">
                  <c:v>5.0738647191247467E-2</c:v>
                </c:pt>
                <c:pt idx="156">
                  <c:v>5.0754138439882898E-2</c:v>
                </c:pt>
                <c:pt idx="157">
                  <c:v>5.0769432393160105E-2</c:v>
                </c:pt>
                <c:pt idx="158">
                  <c:v>5.078453279317513E-2</c:v>
                </c:pt>
                <c:pt idx="159">
                  <c:v>5.0799443288237336E-2</c:v>
                </c:pt>
                <c:pt idx="160">
                  <c:v>5.081416743576922E-2</c:v>
                </c:pt>
                <c:pt idx="161">
                  <c:v>5.0828708705100832E-2</c:v>
                </c:pt>
                <c:pt idx="162">
                  <c:v>5.0843070480163184E-2</c:v>
                </c:pt>
                <c:pt idx="163">
                  <c:v>5.0857256062084688E-2</c:v>
                </c:pt>
                <c:pt idx="164">
                  <c:v>5.0871268671694676E-2</c:v>
                </c:pt>
                <c:pt idx="165">
                  <c:v>5.0885111451937665E-2</c:v>
                </c:pt>
                <c:pt idx="166">
                  <c:v>5.08987874702021E-2</c:v>
                </c:pt>
                <c:pt idx="167">
                  <c:v>5.0912299720566809E-2</c:v>
                </c:pt>
                <c:pt idx="168">
                  <c:v>5.0925651125968745E-2</c:v>
                </c:pt>
                <c:pt idx="169">
                  <c:v>5.0938844540294889E-2</c:v>
                </c:pt>
                <c:pt idx="170">
                  <c:v>5.0951882750401509E-2</c:v>
                </c:pt>
                <c:pt idx="171">
                  <c:v>5.0964768478063575E-2</c:v>
                </c:pt>
                <c:pt idx="172">
                  <c:v>5.0977504381857094E-2</c:v>
                </c:pt>
                <c:pt idx="173">
                  <c:v>5.0990093058976997E-2</c:v>
                </c:pt>
                <c:pt idx="174">
                  <c:v>5.1002537046993111E-2</c:v>
                </c:pt>
                <c:pt idx="175">
                  <c:v>5.101483882554661E-2</c:v>
                </c:pt>
                <c:pt idx="176">
                  <c:v>5.1027000817989263E-2</c:v>
                </c:pt>
                <c:pt idx="177">
                  <c:v>5.1039025392967688E-2</c:v>
                </c:pt>
                <c:pt idx="178">
                  <c:v>5.1050914865954714E-2</c:v>
                </c:pt>
                <c:pt idx="179">
                  <c:v>5.106267150072985E-2</c:v>
                </c:pt>
                <c:pt idx="180">
                  <c:v>5.1074297510810898E-2</c:v>
                </c:pt>
                <c:pt idx="181">
                  <c:v>5.1085795060838442E-2</c:v>
                </c:pt>
                <c:pt idx="182">
                  <c:v>5.109716626791503E-2</c:v>
                </c:pt>
                <c:pt idx="183">
                  <c:v>5.1108413202900806E-2</c:v>
                </c:pt>
                <c:pt idx="184">
                  <c:v>5.111953789166717E-2</c:v>
                </c:pt>
                <c:pt idx="185">
                  <c:v>5.1130542316310014E-2</c:v>
                </c:pt>
                <c:pt idx="186">
                  <c:v>5.1141428416324061E-2</c:v>
                </c:pt>
                <c:pt idx="187">
                  <c:v>5.1152198089739781E-2</c:v>
                </c:pt>
                <c:pt idx="188">
                  <c:v>5.116285319422418E-2</c:v>
                </c:pt>
                <c:pt idx="189">
                  <c:v>5.1173395548146774E-2</c:v>
                </c:pt>
                <c:pt idx="190">
                  <c:v>5.1183826931612199E-2</c:v>
                </c:pt>
                <c:pt idx="191">
                  <c:v>5.1194149087460332E-2</c:v>
                </c:pt>
                <c:pt idx="192">
                  <c:v>5.1204363722235469E-2</c:v>
                </c:pt>
                <c:pt idx="193">
                  <c:v>5.1214472507125394E-2</c:v>
                </c:pt>
                <c:pt idx="194">
                  <c:v>5.1224477078871525E-2</c:v>
                </c:pt>
                <c:pt idx="195">
                  <c:v>5.1234379040651173E-2</c:v>
                </c:pt>
                <c:pt idx="196">
                  <c:v>5.1244179962932866E-2</c:v>
                </c:pt>
                <c:pt idx="197">
                  <c:v>5.1253881384305706E-2</c:v>
                </c:pt>
                <c:pt idx="198">
                  <c:v>5.1263484812283662E-2</c:v>
                </c:pt>
                <c:pt idx="199">
                  <c:v>5.1272991724085698E-2</c:v>
                </c:pt>
                <c:pt idx="200">
                  <c:v>5.1282403567392547E-2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1A-489C-BAB5-B9A99B35C7FF}"/>
            </c:ext>
          </c:extLst>
        </c:ser>
        <c:ser>
          <c:idx val="0"/>
          <c:order val="1"/>
          <c:tx>
            <c:v>Yield Target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'Nelson-Siegel Curve OLS Fit'!$O$39:$O$42</c:f>
              <c:numCache>
                <c:formatCode>0.00</c:formatCode>
                <c:ptCount val="4"/>
                <c:pt idx="0">
                  <c:v>0.25</c:v>
                </c:pt>
                <c:pt idx="1">
                  <c:v>2</c:v>
                </c:pt>
                <c:pt idx="2">
                  <c:v>10</c:v>
                </c:pt>
                <c:pt idx="3">
                  <c:v>30</c:v>
                </c:pt>
              </c:numCache>
            </c:numRef>
          </c:xVal>
          <c:yVal>
            <c:numRef>
              <c:f>'Nelson-Siegel Curve OLS Fit'!$P$39:$P$42</c:f>
              <c:numCache>
                <c:formatCode>0.00000</c:formatCode>
                <c:ptCount val="4"/>
                <c:pt idx="0">
                  <c:v>4.3400000000000001E-2</c:v>
                </c:pt>
                <c:pt idx="1">
                  <c:v>3.9800000000000002E-2</c:v>
                </c:pt>
                <c:pt idx="2">
                  <c:v>4.4900000000000002E-2</c:v>
                </c:pt>
                <c:pt idx="3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1A-489C-BAB5-B9A99B35C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55488"/>
        <c:axId val="144657408"/>
      </c:scatterChart>
      <c:valAx>
        <c:axId val="144655488"/>
        <c:scaling>
          <c:orientation val="minMax"/>
          <c:max val="50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657408"/>
        <c:crossesAt val="-100"/>
        <c:crossBetween val="midCat"/>
      </c:valAx>
      <c:valAx>
        <c:axId val="144657408"/>
        <c:scaling>
          <c:orientation val="minMax"/>
        </c:scaling>
        <c:delete val="0"/>
        <c:axPos val="l"/>
        <c:majorGridlines/>
        <c:numFmt formatCode="#,##0.0000" sourceLinked="0"/>
        <c:majorTickMark val="out"/>
        <c:minorTickMark val="none"/>
        <c:tickLblPos val="nextTo"/>
        <c:crossAx val="1446554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'Svensson Curve Yield'!$F$30</c:f>
              <c:strCache>
                <c:ptCount val="1"/>
                <c:pt idx="0">
                  <c:v>Factor 1</c:v>
                </c:pt>
              </c:strCache>
            </c:strRef>
          </c:tx>
          <c:marker>
            <c:symbol val="none"/>
          </c:marker>
          <c:xVal>
            <c:numRef>
              <c:f>'Svensson Curve Yield'!$E$31:$E$231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'Svensson Curve Yield'!$F$31:$F$231</c:f>
              <c:numCache>
                <c:formatCode>General</c:formatCode>
                <c:ptCount val="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AD-4F1D-AEF7-A3F44DFC11C5}"/>
            </c:ext>
          </c:extLst>
        </c:ser>
        <c:ser>
          <c:idx val="1"/>
          <c:order val="1"/>
          <c:tx>
            <c:strRef>
              <c:f>'Svensson Curve Yield'!$G$30</c:f>
              <c:strCache>
                <c:ptCount val="1"/>
                <c:pt idx="0">
                  <c:v>Factor 2</c:v>
                </c:pt>
              </c:strCache>
            </c:strRef>
          </c:tx>
          <c:marker>
            <c:symbol val="none"/>
          </c:marker>
          <c:xVal>
            <c:numRef>
              <c:f>'Svensson Curve Yield'!$E$31:$E$231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'Svensson Curve Yield'!$G$31:$G$231</c:f>
              <c:numCache>
                <c:formatCode>0.000000</c:formatCode>
                <c:ptCount val="201"/>
                <c:pt idx="0" formatCode="General">
                  <c:v>1</c:v>
                </c:pt>
                <c:pt idx="1">
                  <c:v>0.92759566166118101</c:v>
                </c:pt>
                <c:pt idx="2">
                  <c:v>0.8620951453707586</c:v>
                </c:pt>
                <c:pt idx="3">
                  <c:v>0.80276156554721367</c:v>
                </c:pt>
                <c:pt idx="4">
                  <c:v>0.74894172133072268</c:v>
                </c:pt>
                <c:pt idx="5">
                  <c:v>0.70005621124682393</c:v>
                </c:pt>
                <c:pt idx="6">
                  <c:v>0.6555907478527262</c:v>
                </c:pt>
                <c:pt idx="7">
                  <c:v>0.61508852375639711</c:v>
                </c:pt>
                <c:pt idx="8">
                  <c:v>0.57814349908700069</c:v>
                </c:pt>
                <c:pt idx="9">
                  <c:v>0.54439449680489482</c:v>
                </c:pt>
                <c:pt idx="10">
                  <c:v>0.51352000647601015</c:v>
                </c:pt>
                <c:pt idx="11">
                  <c:v>0.48523360956519124</c:v>
                </c:pt>
                <c:pt idx="12">
                  <c:v>0.45927995015765949</c:v>
                </c:pt>
                <c:pt idx="13">
                  <c:v>0.43543118449889667</c:v>
                </c:pt>
                <c:pt idx="14">
                  <c:v>0.41348385102661706</c:v>
                </c:pt>
                <c:pt idx="15">
                  <c:v>0.39325610980709685</c:v>
                </c:pt>
                <c:pt idx="16">
                  <c:v>0.3745853066152352</c:v>
                </c:pt>
                <c:pt idx="17">
                  <c:v>0.35732582242945926</c:v>
                </c:pt>
                <c:pt idx="18">
                  <c:v>0.34134717395012948</c:v>
                </c:pt>
                <c:pt idx="19">
                  <c:v>0.32653233498164291</c:v>
                </c:pt>
                <c:pt idx="20">
                  <c:v>0.31277625222084388</c:v>
                </c:pt>
                <c:pt idx="21">
                  <c:v>0.29998453223464683</c:v>
                </c:pt>
                <c:pt idx="22">
                  <c:v>0.28807227924640372</c:v>
                </c:pt>
                <c:pt idx="23">
                  <c:v>0.27696306583447949</c:v>
                </c:pt>
                <c:pt idx="24">
                  <c:v>0.26658802082219241</c:v>
                </c:pt>
                <c:pt idx="25">
                  <c:v>0.25688502054453755</c:v>
                </c:pt>
                <c:pt idx="26">
                  <c:v>0.24779797134778841</c:v>
                </c:pt>
                <c:pt idx="27">
                  <c:v>0.23927617264272188</c:v>
                </c:pt>
                <c:pt idx="28">
                  <c:v>0.23127375111663345</c:v>
                </c:pt>
                <c:pt idx="29">
                  <c:v>0.22374915783602967</c:v>
                </c:pt>
                <c:pt idx="30">
                  <c:v>0.2166647209605862</c:v>
                </c:pt>
                <c:pt idx="31">
                  <c:v>0.20998624765682522</c:v>
                </c:pt>
                <c:pt idx="32">
                  <c:v>0.20368266956202294</c:v>
                </c:pt>
                <c:pt idx="33">
                  <c:v>0.19772572681822725</c:v>
                </c:pt>
                <c:pt idx="34">
                  <c:v>0.19208968628443046</c:v>
                </c:pt>
                <c:pt idx="35">
                  <c:v>0.18675109005193127</c:v>
                </c:pt>
                <c:pt idx="36">
                  <c:v>0.18168853084251482</c:v>
                </c:pt>
                <c:pt idx="37">
                  <c:v>0.17688245126895366</c:v>
                </c:pt>
                <c:pt idx="38">
                  <c:v>0.17231496428920887</c:v>
                </c:pt>
                <c:pt idx="39">
                  <c:v>0.16796969249546503</c:v>
                </c:pt>
                <c:pt idx="40">
                  <c:v>0.16383162415191885</c:v>
                </c:pt>
                <c:pt idx="41">
                  <c:v>0.15988698413556154</c:v>
                </c:pt>
                <c:pt idx="42">
                  <c:v>0.1561231181460056</c:v>
                </c:pt>
                <c:pt idx="43">
                  <c:v>0.15252838873716132</c:v>
                </c:pt>
                <c:pt idx="44">
                  <c:v>0.14909208188830611</c:v>
                </c:pt>
                <c:pt idx="45">
                  <c:v>0.14580432297746448</c:v>
                </c:pt>
                <c:pt idx="46">
                  <c:v>0.14265600114836272</c:v>
                </c:pt>
                <c:pt idx="47">
                  <c:v>0.13963870117558677</c:v>
                </c:pt>
                <c:pt idx="48">
                  <c:v>0.13674464203274464</c:v>
                </c:pt>
                <c:pt idx="49">
                  <c:v>0.13396662145699778</c:v>
                </c:pt>
                <c:pt idx="50">
                  <c:v>0.13129796588165632</c:v>
                </c:pt>
                <c:pt idx="51">
                  <c:v>0.12873248517785088</c:v>
                </c:pt>
                <c:pt idx="52">
                  <c:v>0.12626443170766433</c:v>
                </c:pt>
                <c:pt idx="53">
                  <c:v>0.12388846324546657</c:v>
                </c:pt>
                <c:pt idx="54">
                  <c:v>0.12159960937237441</c:v>
                </c:pt>
                <c:pt idx="55">
                  <c:v>0.11939324099147612</c:v>
                </c:pt>
                <c:pt idx="56">
                  <c:v>0.11726504264936048</c:v>
                </c:pt>
                <c:pt idx="57">
                  <c:v>0.11521098738312946</c:v>
                </c:pt>
                <c:pt idx="58">
                  <c:v>0.11322731384195159</c:v>
                </c:pt>
                <c:pt idx="59">
                  <c:v>0.11131050545876207</c:v>
                </c:pt>
                <c:pt idx="60">
                  <c:v>0.10945727147132032</c:v>
                </c:pt>
                <c:pt idx="61">
                  <c:v>0.10766452961283605</c:v>
                </c:pt>
                <c:pt idx="62">
                  <c:v>0.10592939031106612</c:v>
                </c:pt>
                <c:pt idx="63">
                  <c:v>0.10424914225143359</c:v>
                </c:pt>
                <c:pt idx="64">
                  <c:v>0.10262123917455676</c:v>
                </c:pt>
                <c:pt idx="65">
                  <c:v>0.10104328779180538</c:v>
                </c:pt>
                <c:pt idx="66">
                  <c:v>9.9513036714306391E-2</c:v>
                </c:pt>
                <c:pt idx="67">
                  <c:v>9.8028366301360526E-2</c:v>
                </c:pt>
                <c:pt idx="68">
                  <c:v>9.6587279343646082E-2</c:v>
                </c:pt>
                <c:pt idx="69">
                  <c:v>9.5187892505003299E-2</c:v>
                </c:pt>
                <c:pt idx="70">
                  <c:v>9.3828428454120705E-2</c:v>
                </c:pt>
                <c:pt idx="71">
                  <c:v>9.2507208624184351E-2</c:v>
                </c:pt>
                <c:pt idx="72">
                  <c:v>9.1222646544585576E-2</c:v>
                </c:pt>
                <c:pt idx="73">
                  <c:v>8.9973241694192935E-2</c:v>
                </c:pt>
                <c:pt idx="74">
                  <c:v>8.8757573830545167E-2</c:v>
                </c:pt>
                <c:pt idx="75">
                  <c:v>8.7574297753675687E-2</c:v>
                </c:pt>
                <c:pt idx="76">
                  <c:v>8.6422138467189463E-2</c:v>
                </c:pt>
                <c:pt idx="77">
                  <c:v>8.529988670272691E-2</c:v>
                </c:pt>
                <c:pt idx="78">
                  <c:v>8.4206394777109075E-2</c:v>
                </c:pt>
                <c:pt idx="79">
                  <c:v>8.3140572754302144E-2</c:v>
                </c:pt>
                <c:pt idx="80">
                  <c:v>8.2101384886900552E-2</c:v>
                </c:pt>
                <c:pt idx="81">
                  <c:v>8.1087846314134765E-2</c:v>
                </c:pt>
                <c:pt idx="82">
                  <c:v>8.0099019995491821E-2</c:v>
                </c:pt>
                <c:pt idx="83">
                  <c:v>7.9134013860914135E-2</c:v>
                </c:pt>
                <c:pt idx="84">
                  <c:v>7.8191978160238401E-2</c:v>
                </c:pt>
                <c:pt idx="85">
                  <c:v>7.7272102996069125E-2</c:v>
                </c:pt>
                <c:pt idx="86">
                  <c:v>7.6373616025667487E-2</c:v>
                </c:pt>
                <c:pt idx="87">
                  <c:v>7.5495780318690558E-2</c:v>
                </c:pt>
                <c:pt idx="88">
                  <c:v>7.4637892358752608E-2</c:v>
                </c:pt>
                <c:pt idx="89">
                  <c:v>7.3799280177809318E-2</c:v>
                </c:pt>
                <c:pt idx="90">
                  <c:v>7.2979301613300199E-2</c:v>
                </c:pt>
                <c:pt idx="91">
                  <c:v>7.2177342678831941E-2</c:v>
                </c:pt>
                <c:pt idx="92">
                  <c:v>7.1392816039955523E-2</c:v>
                </c:pt>
                <c:pt idx="93">
                  <c:v>7.062515958728964E-2</c:v>
                </c:pt>
                <c:pt idx="94">
                  <c:v>6.987383509987978E-2</c:v>
                </c:pt>
                <c:pt idx="95">
                  <c:v>6.9138326992261481E-2</c:v>
                </c:pt>
                <c:pt idx="96">
                  <c:v>6.8418141139224314E-2</c:v>
                </c:pt>
                <c:pt idx="97">
                  <c:v>6.7712803772754487E-2</c:v>
                </c:pt>
                <c:pt idx="98">
                  <c:v>6.7021860446072237E-2</c:v>
                </c:pt>
                <c:pt idx="99">
                  <c:v>6.6344875060081826E-2</c:v>
                </c:pt>
                <c:pt idx="100">
                  <c:v>6.5681428947916967E-2</c:v>
                </c:pt>
                <c:pt idx="101">
                  <c:v>6.5031120013599994E-2</c:v>
                </c:pt>
                <c:pt idx="102">
                  <c:v>6.4393561921138723E-2</c:v>
                </c:pt>
                <c:pt idx="103">
                  <c:v>6.3768383330665021E-2</c:v>
                </c:pt>
                <c:pt idx="104">
                  <c:v>6.3155227178476672E-2</c:v>
                </c:pt>
                <c:pt idx="105">
                  <c:v>6.255374999807832E-2</c:v>
                </c:pt>
                <c:pt idx="106">
                  <c:v>6.1963621279533962E-2</c:v>
                </c:pt>
                <c:pt idx="107">
                  <c:v>6.1384522864641564E-2</c:v>
                </c:pt>
                <c:pt idx="108">
                  <c:v>6.0816148375622055E-2</c:v>
                </c:pt>
                <c:pt idx="109">
                  <c:v>6.0258202675182712E-2</c:v>
                </c:pt>
                <c:pt idx="110">
                  <c:v>5.9710401355968751E-2</c:v>
                </c:pt>
                <c:pt idx="111">
                  <c:v>5.9172470257558396E-2</c:v>
                </c:pt>
                <c:pt idx="112">
                  <c:v>5.8644145009287836E-2</c:v>
                </c:pt>
                <c:pt idx="113">
                  <c:v>5.8125170597311981E-2</c:v>
                </c:pt>
                <c:pt idx="114">
                  <c:v>5.7615300954418559E-2</c:v>
                </c:pt>
                <c:pt idx="115">
                  <c:v>5.7114298571215104E-2</c:v>
                </c:pt>
                <c:pt idx="116">
                  <c:v>5.6621934127402934E-2</c:v>
                </c:pt>
                <c:pt idx="117">
                  <c:v>5.6137986141939884E-2</c:v>
                </c:pt>
                <c:pt idx="118">
                  <c:v>5.5662240640973928E-2</c:v>
                </c:pt>
                <c:pt idx="119">
                  <c:v>5.5194490842504891E-2</c:v>
                </c:pt>
                <c:pt idx="120">
                  <c:v>5.4734536856800541E-2</c:v>
                </c:pt>
                <c:pt idx="121">
                  <c:v>5.428218540165726E-2</c:v>
                </c:pt>
                <c:pt idx="122">
                  <c:v>5.383724953165523E-2</c:v>
                </c:pt>
                <c:pt idx="123">
                  <c:v>5.3399548380612963E-2</c:v>
                </c:pt>
                <c:pt idx="124">
                  <c:v>5.2968906916496875E-2</c:v>
                </c:pt>
                <c:pt idx="125">
                  <c:v>5.254515570808977E-2</c:v>
                </c:pt>
                <c:pt idx="126">
                  <c:v>5.21281307027655E-2</c:v>
                </c:pt>
                <c:pt idx="127">
                  <c:v>5.1717673014758214E-2</c:v>
                </c:pt>
                <c:pt idx="128">
                  <c:v>5.1313628723353204E-2</c:v>
                </c:pt>
                <c:pt idx="129">
                  <c:v>5.0915848680461118E-2</c:v>
                </c:pt>
                <c:pt idx="130">
                  <c:v>5.0524188327070813E-2</c:v>
                </c:pt>
                <c:pt idx="131">
                  <c:v>5.0138507518106924E-2</c:v>
                </c:pt>
                <c:pt idx="132">
                  <c:v>4.9758670355246434E-2</c:v>
                </c:pt>
                <c:pt idx="133">
                  <c:v>4.9384545027275954E-2</c:v>
                </c:pt>
                <c:pt idx="134">
                  <c:v>4.9016003657595689E-2</c:v>
                </c:pt>
                <c:pt idx="135">
                  <c:v>4.8652922158499978E-2</c:v>
                </c:pt>
                <c:pt idx="136">
                  <c:v>4.8295180091885652E-2</c:v>
                </c:pt>
                <c:pt idx="137">
                  <c:v>4.7942660536059847E-2</c:v>
                </c:pt>
                <c:pt idx="138">
                  <c:v>4.7595249958338165E-2</c:v>
                </c:pt>
                <c:pt idx="139">
                  <c:v>4.7252838093141548E-2</c:v>
                </c:pt>
                <c:pt idx="140">
                  <c:v>4.691531782531707E-2</c:v>
                </c:pt>
                <c:pt idx="141">
                  <c:v>4.6582585078423333E-2</c:v>
                </c:pt>
                <c:pt idx="142">
                  <c:v>4.6254538707735902E-2</c:v>
                </c:pt>
                <c:pt idx="143">
                  <c:v>4.593108039774163E-2</c:v>
                </c:pt>
                <c:pt idx="144">
                  <c:v>4.5612114563903801E-2</c:v>
                </c:pt>
                <c:pt idx="145">
                  <c:v>4.5297548258491922E-2</c:v>
                </c:pt>
                <c:pt idx="146">
                  <c:v>4.4987291080281377E-2</c:v>
                </c:pt>
                <c:pt idx="147">
                  <c:v>4.4681255087938611E-2</c:v>
                </c:pt>
                <c:pt idx="148">
                  <c:v>4.4379354716917514E-2</c:v>
                </c:pt>
                <c:pt idx="149">
                  <c:v>4.4081506699702261E-2</c:v>
                </c:pt>
                <c:pt idx="150">
                  <c:v>4.3787629989240254E-2</c:v>
                </c:pt>
                <c:pt idx="151">
                  <c:v>4.3497645685417363E-2</c:v>
                </c:pt>
                <c:pt idx="152">
                  <c:v>4.3211476964435475E-2</c:v>
                </c:pt>
                <c:pt idx="153">
                  <c:v>4.2929049010959348E-2</c:v>
                </c:pt>
                <c:pt idx="154">
                  <c:v>4.2650288952907171E-2</c:v>
                </c:pt>
                <c:pt idx="155">
                  <c:v>4.2375125798765241E-2</c:v>
                </c:pt>
                <c:pt idx="156">
                  <c:v>4.2103490377313577E-2</c:v>
                </c:pt>
                <c:pt idx="157">
                  <c:v>4.1835315279655012E-2</c:v>
                </c:pt>
                <c:pt idx="158">
                  <c:v>4.157053480344565E-2</c:v>
                </c:pt>
                <c:pt idx="159">
                  <c:v>4.1309084899229812E-2</c:v>
                </c:pt>
                <c:pt idx="160">
                  <c:v>4.1050903118787431E-2</c:v>
                </c:pt>
                <c:pt idx="161">
                  <c:v>4.0795928565406335E-2</c:v>
                </c:pt>
                <c:pt idx="162">
                  <c:v>4.05441018459963E-2</c:v>
                </c:pt>
                <c:pt idx="163">
                  <c:v>4.0295365024965758E-2</c:v>
                </c:pt>
                <c:pt idx="164">
                  <c:v>4.0049661579785921E-2</c:v>
                </c:pt>
                <c:pt idx="165">
                  <c:v>3.9806936358170786E-2</c:v>
                </c:pt>
                <c:pt idx="166">
                  <c:v>3.9567135536804771E-2</c:v>
                </c:pt>
                <c:pt idx="167">
                  <c:v>3.9330206581553236E-2</c:v>
                </c:pt>
                <c:pt idx="168">
                  <c:v>3.9096098209094085E-2</c:v>
                </c:pt>
                <c:pt idx="169">
                  <c:v>3.8864760349911445E-2</c:v>
                </c:pt>
                <c:pt idx="170">
                  <c:v>3.8636144112595534E-2</c:v>
                </c:pt>
                <c:pt idx="171">
                  <c:v>3.8410201749395155E-2</c:v>
                </c:pt>
                <c:pt idx="172">
                  <c:v>3.8186886622971795E-2</c:v>
                </c:pt>
                <c:pt idx="173">
                  <c:v>3.7966153174306815E-2</c:v>
                </c:pt>
                <c:pt idx="174">
                  <c:v>3.7747956891715256E-2</c:v>
                </c:pt>
                <c:pt idx="175">
                  <c:v>3.7532254280922023E-2</c:v>
                </c:pt>
                <c:pt idx="176">
                  <c:v>3.7319002836158202E-2</c:v>
                </c:pt>
                <c:pt idx="177">
                  <c:v>3.7108161012237184E-2</c:v>
                </c:pt>
                <c:pt idx="178">
                  <c:v>3.6899688197572007E-2</c:v>
                </c:pt>
                <c:pt idx="179">
                  <c:v>3.6693544688097178E-2</c:v>
                </c:pt>
                <c:pt idx="180">
                  <c:v>3.648969166205971E-2</c:v>
                </c:pt>
                <c:pt idx="181">
                  <c:v>3.6288091155645914E-2</c:v>
                </c:pt>
                <c:pt idx="182">
                  <c:v>3.6088706039411597E-2</c:v>
                </c:pt>
                <c:pt idx="183">
                  <c:v>3.589149999548507E-2</c:v>
                </c:pt>
                <c:pt idx="184">
                  <c:v>3.5696437495513607E-2</c:v>
                </c:pt>
                <c:pt idx="185">
                  <c:v>3.5503483779325065E-2</c:v>
                </c:pt>
                <c:pt idx="186">
                  <c:v>3.5312604834277846E-2</c:v>
                </c:pt>
                <c:pt idx="187">
                  <c:v>3.5123767375273507E-2</c:v>
                </c:pt>
                <c:pt idx="188">
                  <c:v>3.4936938825407167E-2</c:v>
                </c:pt>
                <c:pt idx="189">
                  <c:v>3.4752087297232219E-2</c:v>
                </c:pt>
                <c:pt idx="190">
                  <c:v>3.4569181574616768E-2</c:v>
                </c:pt>
                <c:pt idx="191">
                  <c:v>3.4388191095169836E-2</c:v>
                </c:pt>
                <c:pt idx="192">
                  <c:v>3.4209085933216962E-2</c:v>
                </c:pt>
                <c:pt idx="193">
                  <c:v>3.4031836783304896E-2</c:v>
                </c:pt>
                <c:pt idx="194">
                  <c:v>3.3856414944216519E-2</c:v>
                </c:pt>
                <c:pt idx="195">
                  <c:v>3.3682792303477656E-2</c:v>
                </c:pt>
                <c:pt idx="196">
                  <c:v>3.3510941322338068E-2</c:v>
                </c:pt>
                <c:pt idx="197">
                  <c:v>3.3340835021209964E-2</c:v>
                </c:pt>
                <c:pt idx="198">
                  <c:v>3.3172446965547733E-2</c:v>
                </c:pt>
                <c:pt idx="199">
                  <c:v>3.3005751252153395E-2</c:v>
                </c:pt>
                <c:pt idx="200">
                  <c:v>3.2840722495892954E-2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AD-4F1D-AEF7-A3F44DFC11C5}"/>
            </c:ext>
          </c:extLst>
        </c:ser>
        <c:ser>
          <c:idx val="2"/>
          <c:order val="2"/>
          <c:tx>
            <c:strRef>
              <c:f>'Svensson Curve Yield'!$H$30</c:f>
              <c:strCache>
                <c:ptCount val="1"/>
                <c:pt idx="0">
                  <c:v>Factor 3</c:v>
                </c:pt>
              </c:strCache>
            </c:strRef>
          </c:tx>
          <c:marker>
            <c:symbol val="none"/>
          </c:marker>
          <c:xVal>
            <c:numRef>
              <c:f>'Svensson Curve Yield'!$E$31:$E$231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'Svensson Curve Yield'!$H$31:$H$231</c:f>
              <c:numCache>
                <c:formatCode>0.000000</c:formatCode>
                <c:ptCount val="201"/>
                <c:pt idx="0" formatCode="General">
                  <c:v>0</c:v>
                </c:pt>
                <c:pt idx="1">
                  <c:v>6.8822101149095816E-2</c:v>
                </c:pt>
                <c:pt idx="2">
                  <c:v>0.12460311713615457</c:v>
                </c:pt>
                <c:pt idx="3">
                  <c:v>0.16942291061090353</c:v>
                </c:pt>
                <c:pt idx="4">
                  <c:v>0.20504722962113275</c:v>
                </c:pt>
                <c:pt idx="5">
                  <c:v>0.23297400205846858</c:v>
                </c:pt>
                <c:pt idx="6">
                  <c:v>0.25447289601619166</c:v>
                </c:pt>
                <c:pt idx="7">
                  <c:v>0.27061911794977733</c:v>
                </c:pt>
                <c:pt idx="8">
                  <c:v>0.28232228097496748</c:v>
                </c:pt>
                <c:pt idx="9">
                  <c:v>0.29035105605180195</c:v>
                </c:pt>
                <c:pt idx="10">
                  <c:v>0.29535421633573561</c:v>
                </c:pt>
                <c:pt idx="11">
                  <c:v>0.29787859718449528</c:v>
                </c:pt>
                <c:pt idx="12">
                  <c:v>0.29838441909570346</c:v>
                </c:pt>
                <c:pt idx="13">
                  <c:v>0.29725835641833787</c:v>
                </c:pt>
                <c:pt idx="14">
                  <c:v>0.29482467948985136</c:v>
                </c:pt>
                <c:pt idx="15">
                  <c:v>0.2913547505790543</c:v>
                </c:pt>
                <c:pt idx="16">
                  <c:v>0.28707511352994808</c:v>
                </c:pt>
                <c:pt idx="17">
                  <c:v>0.28217438233250719</c:v>
                </c:pt>
                <c:pt idx="18">
                  <c:v>0.27680910416045923</c:v>
                </c:pt>
                <c:pt idx="19">
                  <c:v>0.27110874699979037</c:v>
                </c:pt>
                <c:pt idx="20">
                  <c:v>0.26517994023331354</c:v>
                </c:pt>
                <c:pt idx="21">
                  <c:v>0.25911007792187135</c:v>
                </c:pt>
                <c:pt idx="22">
                  <c:v>0.25297037858223298</c:v>
                </c:pt>
                <c:pt idx="23">
                  <c:v>0.24681848162036807</c:v>
                </c:pt>
                <c:pt idx="24">
                  <c:v>0.24070064890648354</c:v>
                </c:pt>
                <c:pt idx="25">
                  <c:v>0.2346536299921837</c:v>
                </c:pt>
                <c:pt idx="26">
                  <c:v>0.22870624092800876</c:v>
                </c:pt>
                <c:pt idx="27">
                  <c:v>0.22288069933379082</c:v>
                </c:pt>
                <c:pt idx="28">
                  <c:v>0.21719375212684186</c:v>
                </c:pt>
                <c:pt idx="29">
                  <c:v>0.21165762697155979</c:v>
                </c:pt>
                <c:pt idx="30">
                  <c:v>0.20628083394806362</c:v>
                </c:pt>
                <c:pt idx="31">
                  <c:v>0.20106884003512601</c:v>
                </c:pt>
                <c:pt idx="32">
                  <c:v>0.19602463566819869</c:v>
                </c:pt>
                <c:pt idx="33">
                  <c:v>0.19114920978470559</c:v>
                </c:pt>
                <c:pt idx="34">
                  <c:v>0.18644194733578467</c:v>
                </c:pt>
                <c:pt idx="35">
                  <c:v>0.18190096116615995</c:v>
                </c:pt>
                <c:pt idx="36">
                  <c:v>0.17752336839033847</c:v>
                </c:pt>
                <c:pt idx="37">
                  <c:v>0.17330551987978693</c:v>
                </c:pt>
                <c:pt idx="38">
                  <c:v>0.16924319018442671</c:v>
                </c:pt>
                <c:pt idx="39">
                  <c:v>0.16533173411041244</c:v>
                </c:pt>
                <c:pt idx="40">
                  <c:v>0.16156621523710452</c:v>
                </c:pt>
                <c:pt idx="41">
                  <c:v>0.15794151085577063</c:v>
                </c:pt>
                <c:pt idx="42">
                  <c:v>0.15445239713063844</c:v>
                </c:pt>
                <c:pt idx="43">
                  <c:v>0.15109361770217208</c:v>
                </c:pt>
                <c:pt idx="44">
                  <c:v>0.1478599384580688</c:v>
                </c:pt>
                <c:pt idx="45">
                  <c:v>0.14474619077681802</c:v>
                </c:pt>
                <c:pt idx="46">
                  <c:v>0.14174730519092105</c:v>
                </c:pt>
                <c:pt idx="47">
                  <c:v>0.13885833711279166</c:v>
                </c:pt>
                <c:pt idx="48">
                  <c:v>0.13607448600804239</c:v>
                </c:pt>
                <c:pt idx="49">
                  <c:v>0.13339110918156563</c:v>
                </c:pt>
                <c:pt idx="50">
                  <c:v>0.13080373115576502</c:v>
                </c:pt>
                <c:pt idx="51">
                  <c:v>0.12830804946256849</c:v>
                </c:pt>
                <c:pt idx="52">
                  <c:v>0.1258999375372428</c:v>
                </c:pt>
                <c:pt idx="53">
                  <c:v>0.12357544528894776</c:v>
                </c:pt>
                <c:pt idx="54">
                  <c:v>0.12133079782735054</c:v>
                </c:pt>
                <c:pt idx="55">
                  <c:v>0.11916239274384921</c:v>
                </c:pt>
                <c:pt idx="56">
                  <c:v>0.11706679627780794</c:v>
                </c:pt>
                <c:pt idx="57">
                  <c:v>0.11504073864077269</c:v>
                </c:pt>
                <c:pt idx="58">
                  <c:v>0.11308110872330517</c:v>
                </c:pt>
                <c:pt idx="59">
                  <c:v>0.11118494836845699</c:v>
                </c:pt>
                <c:pt idx="60">
                  <c:v>0.10934944636183148</c:v>
                </c:pt>
                <c:pt idx="61">
                  <c:v>0.10757193225964773</c:v>
                </c:pt>
                <c:pt idx="62">
                  <c:v>0.10584987015237457</c:v>
                </c:pt>
                <c:pt idx="63">
                  <c:v>0.10418085244162156</c:v>
                </c:pt>
                <c:pt idx="64">
                  <c:v>0.1025625936914378</c:v>
                </c:pt>
                <c:pt idx="65">
                  <c:v>0.10099292460145937</c:v>
                </c:pt>
                <c:pt idx="66">
                  <c:v>9.9469786138014188E-2</c:v>
                </c:pt>
                <c:pt idx="67">
                  <c:v>9.7991223849963879E-2</c:v>
                </c:pt>
                <c:pt idx="68">
                  <c:v>9.6555382388414032E-2</c:v>
                </c:pt>
                <c:pt idx="69">
                  <c:v>9.5160500243189172E-2</c:v>
                </c:pt>
                <c:pt idx="70">
                  <c:v>9.3804904703912118E-2</c:v>
                </c:pt>
                <c:pt idx="71">
                  <c:v>9.2487007049461126E-2</c:v>
                </c:pt>
                <c:pt idx="72">
                  <c:v>9.120529796633256E-2</c:v>
                </c:pt>
                <c:pt idx="73">
                  <c:v>8.9958343193876772E-2</c:v>
                </c:pt>
                <c:pt idx="74">
                  <c:v>8.8744779392382359E-2</c:v>
                </c:pt>
                <c:pt idx="75">
                  <c:v>8.7563310228459867E-2</c:v>
                </c:pt>
                <c:pt idx="76">
                  <c:v>8.6412702671038649E-2</c:v>
                </c:pt>
                <c:pt idx="77">
                  <c:v>8.5291783490470216E-2</c:v>
                </c:pt>
                <c:pt idx="78">
                  <c:v>8.4199435952667809E-2</c:v>
                </c:pt>
                <c:pt idx="79">
                  <c:v>8.3134596699859731E-2</c:v>
                </c:pt>
                <c:pt idx="80">
                  <c:v>8.2096252809349235E-2</c:v>
                </c:pt>
                <c:pt idx="81">
                  <c:v>8.1083439021623196E-2</c:v>
                </c:pt>
                <c:pt idx="82">
                  <c:v>8.0095235129209436E-2</c:v>
                </c:pt>
                <c:pt idx="83">
                  <c:v>7.9130763517820751E-2</c:v>
                </c:pt>
                <c:pt idx="84">
                  <c:v>7.8189186851527218E-2</c:v>
                </c:pt>
                <c:pt idx="85">
                  <c:v>7.7269705893948729E-2</c:v>
                </c:pt>
                <c:pt idx="86">
                  <c:v>7.637155745774464E-2</c:v>
                </c:pt>
                <c:pt idx="87">
                  <c:v>7.5494012474985897E-2</c:v>
                </c:pt>
                <c:pt idx="88">
                  <c:v>7.4636374181319937E-2</c:v>
                </c:pt>
                <c:pt idx="89">
                  <c:v>7.3797976407169966E-2</c:v>
                </c:pt>
                <c:pt idx="90">
                  <c:v>7.2978181969546155E-2</c:v>
                </c:pt>
                <c:pt idx="91">
                  <c:v>7.217638115837878E-2</c:v>
                </c:pt>
                <c:pt idx="92">
                  <c:v>7.1391990311612447E-2</c:v>
                </c:pt>
                <c:pt idx="93">
                  <c:v>7.062445047362044E-2</c:v>
                </c:pt>
                <c:pt idx="94">
                  <c:v>6.9873226131809282E-2</c:v>
                </c:pt>
                <c:pt idx="95">
                  <c:v>6.9137804026583344E-2</c:v>
                </c:pt>
                <c:pt idx="96">
                  <c:v>6.8417692030126875E-2</c:v>
                </c:pt>
                <c:pt idx="97">
                  <c:v>6.7712418089735812E-2</c:v>
                </c:pt>
                <c:pt idx="98">
                  <c:v>6.7021529231693064E-2</c:v>
                </c:pt>
                <c:pt idx="99">
                  <c:v>6.6344590621930127E-2</c:v>
                </c:pt>
                <c:pt idx="100">
                  <c:v>6.5681184679952695E-2</c:v>
                </c:pt>
                <c:pt idx="101">
                  <c:v>6.5030910242730597E-2</c:v>
                </c:pt>
                <c:pt idx="102">
                  <c:v>6.4393381775462319E-2</c:v>
                </c:pt>
                <c:pt idx="103">
                  <c:v>6.3768228626321088E-2</c:v>
                </c:pt>
                <c:pt idx="104">
                  <c:v>6.3155094322476402E-2</c:v>
                </c:pt>
                <c:pt idx="105">
                  <c:v>6.2553635904857935E-2</c:v>
                </c:pt>
                <c:pt idx="106">
                  <c:v>6.1963523299292861E-2</c:v>
                </c:pt>
                <c:pt idx="107">
                  <c:v>6.1384438721801049E-2</c:v>
                </c:pt>
                <c:pt idx="108">
                  <c:v>6.0816076115975316E-2</c:v>
                </c:pt>
                <c:pt idx="109">
                  <c:v>6.0258140620508605E-2</c:v>
                </c:pt>
                <c:pt idx="110">
                  <c:v>5.9710348065055319E-2</c:v>
                </c:pt>
                <c:pt idx="111">
                  <c:v>5.9172424492730927E-2</c:v>
                </c:pt>
                <c:pt idx="112">
                  <c:v>5.8644105707664006E-2</c:v>
                </c:pt>
                <c:pt idx="113">
                  <c:v>5.8125136846116546E-2</c:v>
                </c:pt>
                <c:pt idx="114">
                  <c:v>5.7615271969784283E-2</c:v>
                </c:pt>
                <c:pt idx="115">
                  <c:v>5.7114273679977526E-2</c:v>
                </c:pt>
                <c:pt idx="116">
                  <c:v>5.6621912751466219E-2</c:v>
                </c:pt>
                <c:pt idx="117">
                  <c:v>5.6137967784850598E-2</c:v>
                </c:pt>
                <c:pt idx="118">
                  <c:v>5.5662224876391005E-2</c:v>
                </c:pt>
                <c:pt idx="119">
                  <c:v>5.5194477304297884E-2</c:v>
                </c:pt>
                <c:pt idx="120">
                  <c:v>5.4734525230546303E-2</c:v>
                </c:pt>
                <c:pt idx="121">
                  <c:v>5.4282175417337514E-2</c:v>
                </c:pt>
                <c:pt idx="122">
                  <c:v>5.3837240957385415E-2</c:v>
                </c:pt>
                <c:pt idx="123">
                  <c:v>5.3399541017256739E-2</c:v>
                </c:pt>
                <c:pt idx="124">
                  <c:v>5.2968900593041233E-2</c:v>
                </c:pt>
                <c:pt idx="125">
                  <c:v>5.2545150277673258E-2</c:v>
                </c:pt>
                <c:pt idx="126">
                  <c:v>5.2128126039267378E-2</c:v>
                </c:pt>
                <c:pt idx="127">
                  <c:v>5.1717669009869328E-2</c:v>
                </c:pt>
                <c:pt idx="128">
                  <c:v>5.1313625284060513E-2</c:v>
                </c:pt>
                <c:pt idx="129">
                  <c:v>5.0915845726887489E-2</c:v>
                </c:pt>
                <c:pt idx="130">
                  <c:v>5.0524185790619867E-2</c:v>
                </c:pt>
                <c:pt idx="131">
                  <c:v>5.0138505339869917E-2</c:v>
                </c:pt>
                <c:pt idx="132">
                  <c:v>4.9758668484634082E-2</c:v>
                </c:pt>
                <c:pt idx="133">
                  <c:v>4.938454342084353E-2</c:v>
                </c:pt>
                <c:pt idx="134">
                  <c:v>4.9016002278033995E-2</c:v>
                </c:pt>
                <c:pt idx="135">
                  <c:v>4.8652920973768866E-2</c:v>
                </c:pt>
                <c:pt idx="136">
                  <c:v>4.8295179074469896E-2</c:v>
                </c:pt>
                <c:pt idx="137">
                  <c:v>4.7942659662330099E-2</c:v>
                </c:pt>
                <c:pt idx="138">
                  <c:v>4.7595249208002156E-2</c:v>
                </c:pt>
                <c:pt idx="139">
                  <c:v>4.7252837448772823E-2</c:v>
                </c:pt>
                <c:pt idx="140">
                  <c:v>4.6915317271950245E-2</c:v>
                </c:pt>
                <c:pt idx="141">
                  <c:v>4.6582584603206537E-2</c:v>
                </c:pt>
                <c:pt idx="142">
                  <c:v>4.6254538299632282E-2</c:v>
                </c:pt>
                <c:pt idx="143">
                  <c:v>4.5931080047273032E-2</c:v>
                </c:pt>
                <c:pt idx="144">
                  <c:v>4.5612114262930631E-2</c:v>
                </c:pt>
                <c:pt idx="145">
                  <c:v>4.5297548000024127E-2</c:v>
                </c:pt>
                <c:pt idx="146">
                  <c:v>4.4987290858316063E-2</c:v>
                </c:pt>
                <c:pt idx="147">
                  <c:v>4.4681254897320673E-2</c:v>
                </c:pt>
                <c:pt idx="148">
                  <c:v>4.4379354553219869E-2</c:v>
                </c:pt>
                <c:pt idx="149">
                  <c:v>4.4081506559123046E-2</c:v>
                </c:pt>
                <c:pt idx="150">
                  <c:v>4.3787629868514547E-2</c:v>
                </c:pt>
                <c:pt idx="151">
                  <c:v>4.3497645581741316E-2</c:v>
                </c:pt>
                <c:pt idx="152">
                  <c:v>4.3211476875401222E-2</c:v>
                </c:pt>
                <c:pt idx="153">
                  <c:v>4.2929048934499087E-2</c:v>
                </c:pt>
                <c:pt idx="154">
                  <c:v>4.2650288887245119E-2</c:v>
                </c:pt>
                <c:pt idx="155">
                  <c:v>4.237512574237641E-2</c:v>
                </c:pt>
                <c:pt idx="156">
                  <c:v>4.2103490328888341E-2</c:v>
                </c:pt>
                <c:pt idx="157">
                  <c:v>4.1835315238068702E-2</c:v>
                </c:pt>
                <c:pt idx="158">
                  <c:v>4.1570534767732426E-2</c:v>
                </c:pt>
                <c:pt idx="159">
                  <c:v>4.1309084868560234E-2</c:v>
                </c:pt>
                <c:pt idx="160">
                  <c:v>4.1050903092449208E-2</c:v>
                </c:pt>
                <c:pt idx="161">
                  <c:v>4.0795928542787768E-2</c:v>
                </c:pt>
                <c:pt idx="162">
                  <c:v>4.0544101826572074E-2</c:v>
                </c:pt>
                <c:pt idx="163">
                  <c:v>4.0295365008284748E-2</c:v>
                </c:pt>
                <c:pt idx="164">
                  <c:v>4.0049661565460706E-2</c:v>
                </c:pt>
                <c:pt idx="165">
                  <c:v>3.9806936345868675E-2</c:v>
                </c:pt>
                <c:pt idx="166">
                  <c:v>3.9567135526240041E-2</c:v>
                </c:pt>
                <c:pt idx="167">
                  <c:v>3.9330206572480528E-2</c:v>
                </c:pt>
                <c:pt idx="168">
                  <c:v>3.9096098201302679E-2</c:v>
                </c:pt>
                <c:pt idx="169">
                  <c:v>3.8864760343220395E-2</c:v>
                </c:pt>
                <c:pt idx="170">
                  <c:v>3.8636144106849436E-2</c:v>
                </c:pt>
                <c:pt idx="171">
                  <c:v>3.8410201744460561E-2</c:v>
                </c:pt>
                <c:pt idx="172">
                  <c:v>3.8186886618734095E-2</c:v>
                </c:pt>
                <c:pt idx="173">
                  <c:v>3.7966153170667587E-2</c:v>
                </c:pt>
                <c:pt idx="174">
                  <c:v>3.7747956888589985E-2</c:v>
                </c:pt>
                <c:pt idx="175">
                  <c:v>3.7532254278238121E-2</c:v>
                </c:pt>
                <c:pt idx="176">
                  <c:v>3.7319002833853337E-2</c:v>
                </c:pt>
                <c:pt idx="177">
                  <c:v>3.710816101025783E-2</c:v>
                </c:pt>
                <c:pt idx="178">
                  <c:v>3.6899688195872186E-2</c:v>
                </c:pt>
                <c:pt idx="179">
                  <c:v>3.6693544686637422E-2</c:v>
                </c:pt>
                <c:pt idx="180">
                  <c:v>3.6489691660806109E-2</c:v>
                </c:pt>
                <c:pt idx="181">
                  <c:v>3.6288091154569352E-2</c:v>
                </c:pt>
                <c:pt idx="182">
                  <c:v>3.6088706038487073E-2</c:v>
                </c:pt>
                <c:pt idx="183">
                  <c:v>3.5891499994691115E-2</c:v>
                </c:pt>
                <c:pt idx="184">
                  <c:v>3.5696437494831777E-2</c:v>
                </c:pt>
                <c:pt idx="185">
                  <c:v>3.5503483778739527E-2</c:v>
                </c:pt>
                <c:pt idx="186">
                  <c:v>3.5312604833775005E-2</c:v>
                </c:pt>
                <c:pt idx="187">
                  <c:v>3.5123767374841679E-2</c:v>
                </c:pt>
                <c:pt idx="188">
                  <c:v>3.4936938825036325E-2</c:v>
                </c:pt>
                <c:pt idx="189">
                  <c:v>3.4752087296913751E-2</c:v>
                </c:pt>
                <c:pt idx="190">
                  <c:v>3.4569181574343272E-2</c:v>
                </c:pt>
                <c:pt idx="191">
                  <c:v>3.4388191094934968E-2</c:v>
                </c:pt>
                <c:pt idx="192">
                  <c:v>3.4209085933015262E-2</c:v>
                </c:pt>
                <c:pt idx="193">
                  <c:v>3.403183678313168E-2</c:v>
                </c:pt>
                <c:pt idx="194">
                  <c:v>3.385641494406777E-2</c:v>
                </c:pt>
                <c:pt idx="195">
                  <c:v>3.3682792303349911E-2</c:v>
                </c:pt>
                <c:pt idx="196">
                  <c:v>3.3510941322228364E-2</c:v>
                </c:pt>
                <c:pt idx="197">
                  <c:v>3.3340835021115754E-2</c:v>
                </c:pt>
                <c:pt idx="198">
                  <c:v>3.3172446965466826E-2</c:v>
                </c:pt>
                <c:pt idx="199">
                  <c:v>3.3005751252083916E-2</c:v>
                </c:pt>
                <c:pt idx="200">
                  <c:v>3.2840722495833287E-2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AD-4F1D-AEF7-A3F44DFC11C5}"/>
            </c:ext>
          </c:extLst>
        </c:ser>
        <c:ser>
          <c:idx val="3"/>
          <c:order val="3"/>
          <c:tx>
            <c:strRef>
              <c:f>'Svensson Curve Yield'!$I$30</c:f>
              <c:strCache>
                <c:ptCount val="1"/>
                <c:pt idx="0">
                  <c:v>Factor 4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'Svensson Curve Yield'!$E$31:$E$231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'Svensson Curve Yield'!$I$31:$I$231</c:f>
              <c:numCache>
                <c:formatCode>0.000000</c:formatCode>
                <c:ptCount val="201"/>
                <c:pt idx="0" formatCode="General">
                  <c:v>0</c:v>
                </c:pt>
                <c:pt idx="1">
                  <c:v>2.4602757177192291E-3</c:v>
                </c:pt>
                <c:pt idx="2">
                  <c:v>4.9043936035751967E-3</c:v>
                </c:pt>
                <c:pt idx="3">
                  <c:v>7.3324431858723393E-3</c:v>
                </c:pt>
                <c:pt idx="4">
                  <c:v>9.7445135226246204E-3</c:v>
                </c:pt>
                <c:pt idx="5">
                  <c:v>1.214069320392952E-2</c:v>
                </c:pt>
                <c:pt idx="6">
                  <c:v>1.4521070354366783E-2</c:v>
                </c:pt>
                <c:pt idx="7">
                  <c:v>1.6885732635396611E-2</c:v>
                </c:pt>
                <c:pt idx="8">
                  <c:v>1.9234767247740203E-2</c:v>
                </c:pt>
                <c:pt idx="9">
                  <c:v>2.1568260933731098E-2</c:v>
                </c:pt>
                <c:pt idx="10">
                  <c:v>2.3886299979683834E-2</c:v>
                </c:pt>
                <c:pt idx="11">
                  <c:v>2.6188970218213314E-2</c:v>
                </c:pt>
                <c:pt idx="12">
                  <c:v>2.847635703058593E-2</c:v>
                </c:pt>
                <c:pt idx="13">
                  <c:v>3.0748545349016942E-2</c:v>
                </c:pt>
                <c:pt idx="14">
                  <c:v>3.3005619658989849E-2</c:v>
                </c:pt>
                <c:pt idx="15">
                  <c:v>3.5247664001541557E-2</c:v>
                </c:pt>
                <c:pt idx="16">
                  <c:v>3.7474761975546111E-2</c:v>
                </c:pt>
                <c:pt idx="17">
                  <c:v>3.9686996739985103E-2</c:v>
                </c:pt>
                <c:pt idx="18">
                  <c:v>4.1884451016206303E-2</c:v>
                </c:pt>
                <c:pt idx="19">
                  <c:v>4.4067207090173199E-2</c:v>
                </c:pt>
                <c:pt idx="20">
                  <c:v>4.6235346814692213E-2</c:v>
                </c:pt>
                <c:pt idx="21">
                  <c:v>4.8388951611650355E-2</c:v>
                </c:pt>
                <c:pt idx="22">
                  <c:v>5.052810247421724E-2</c:v>
                </c:pt>
                <c:pt idx="23">
                  <c:v>5.2652879969052102E-2</c:v>
                </c:pt>
                <c:pt idx="24">
                  <c:v>5.4763364238494816E-2</c:v>
                </c:pt>
                <c:pt idx="25">
                  <c:v>5.6859635002741049E-2</c:v>
                </c:pt>
                <c:pt idx="26">
                  <c:v>5.8941771562017076E-2</c:v>
                </c:pt>
                <c:pt idx="27">
                  <c:v>6.1009852798735276E-2</c:v>
                </c:pt>
                <c:pt idx="28">
                  <c:v>6.3063957179637864E-2</c:v>
                </c:pt>
                <c:pt idx="29">
                  <c:v>6.5104162757935291E-2</c:v>
                </c:pt>
                <c:pt idx="30">
                  <c:v>6.7130547175433541E-2</c:v>
                </c:pt>
                <c:pt idx="31">
                  <c:v>6.9143187664642669E-2</c:v>
                </c:pt>
                <c:pt idx="32">
                  <c:v>7.1142161050885E-2</c:v>
                </c:pt>
                <c:pt idx="33">
                  <c:v>7.312754375438546E-2</c:v>
                </c:pt>
                <c:pt idx="34">
                  <c:v>7.5099411792356685E-2</c:v>
                </c:pt>
                <c:pt idx="35">
                  <c:v>7.7057840781066145E-2</c:v>
                </c:pt>
                <c:pt idx="36">
                  <c:v>7.9002905937901602E-2</c:v>
                </c:pt>
                <c:pt idx="37">
                  <c:v>8.0934682083419363E-2</c:v>
                </c:pt>
                <c:pt idx="38">
                  <c:v>8.2853243643384755E-2</c:v>
                </c:pt>
                <c:pt idx="39">
                  <c:v>8.4758664650804727E-2</c:v>
                </c:pt>
                <c:pt idx="40">
                  <c:v>8.6651018747942898E-2</c:v>
                </c:pt>
                <c:pt idx="41">
                  <c:v>8.8530379188332509E-2</c:v>
                </c:pt>
                <c:pt idx="42">
                  <c:v>9.0396818838774928E-2</c:v>
                </c:pt>
                <c:pt idx="43">
                  <c:v>9.2250410181327958E-2</c:v>
                </c:pt>
                <c:pt idx="44">
                  <c:v>9.4091225315285354E-2</c:v>
                </c:pt>
                <c:pt idx="45">
                  <c:v>9.5919335959144814E-2</c:v>
                </c:pt>
                <c:pt idx="46">
                  <c:v>9.7734813452569069E-2</c:v>
                </c:pt>
                <c:pt idx="47">
                  <c:v>9.9537728758333222E-2</c:v>
                </c:pt>
                <c:pt idx="48">
                  <c:v>0.10132815246426397</c:v>
                </c:pt>
                <c:pt idx="49">
                  <c:v>0.10310615478516927</c:v>
                </c:pt>
                <c:pt idx="50">
                  <c:v>0.1048718055647575</c:v>
                </c:pt>
                <c:pt idx="51">
                  <c:v>0.10662517427754825</c:v>
                </c:pt>
                <c:pt idx="52">
                  <c:v>0.1083663300307699</c:v>
                </c:pt>
                <c:pt idx="53">
                  <c:v>0.11009534156625356</c:v>
                </c:pt>
                <c:pt idx="54">
                  <c:v>0.11181227726231135</c:v>
                </c:pt>
                <c:pt idx="55">
                  <c:v>0.11351720513560792</c:v>
                </c:pt>
                <c:pt idx="56">
                  <c:v>0.1152101928430237</c:v>
                </c:pt>
                <c:pt idx="57">
                  <c:v>0.11689130768350442</c:v>
                </c:pt>
                <c:pt idx="58">
                  <c:v>0.11856061659990835</c:v>
                </c:pt>
                <c:pt idx="59">
                  <c:v>0.12021818618083524</c:v>
                </c:pt>
                <c:pt idx="60">
                  <c:v>0.12186408266245397</c:v>
                </c:pt>
                <c:pt idx="61">
                  <c:v>0.1234983719303151</c:v>
                </c:pt>
                <c:pt idx="62">
                  <c:v>0.12512111952115923</c:v>
                </c:pt>
                <c:pt idx="63">
                  <c:v>0.12673239062471175</c:v>
                </c:pt>
                <c:pt idx="64">
                  <c:v>0.12833225008546945</c:v>
                </c:pt>
                <c:pt idx="65">
                  <c:v>0.12992076240448258</c:v>
                </c:pt>
                <c:pt idx="66">
                  <c:v>0.13149799174112031</c:v>
                </c:pt>
                <c:pt idx="67">
                  <c:v>0.13306400191483392</c:v>
                </c:pt>
                <c:pt idx="68">
                  <c:v>0.13461885640690596</c:v>
                </c:pt>
                <c:pt idx="69">
                  <c:v>0.13616261836219523</c:v>
                </c:pt>
                <c:pt idx="70">
                  <c:v>0.13769535059086835</c:v>
                </c:pt>
                <c:pt idx="71">
                  <c:v>0.13921711557012584</c:v>
                </c:pt>
                <c:pt idx="72">
                  <c:v>0.14072797544591842</c:v>
                </c:pt>
                <c:pt idx="73">
                  <c:v>0.14222799203465331</c:v>
                </c:pt>
                <c:pt idx="74">
                  <c:v>0.14371722682489507</c:v>
                </c:pt>
                <c:pt idx="75">
                  <c:v>0.14519574097905252</c:v>
                </c:pt>
                <c:pt idx="76">
                  <c:v>0.14666359533506401</c:v>
                </c:pt>
                <c:pt idx="77">
                  <c:v>0.14812085040806733</c:v>
                </c:pt>
                <c:pt idx="78">
                  <c:v>0.14956756639206636</c:v>
                </c:pt>
                <c:pt idx="79">
                  <c:v>0.15100380316158524</c:v>
                </c:pt>
                <c:pt idx="80">
                  <c:v>0.15242962027331819</c:v>
                </c:pt>
                <c:pt idx="81">
                  <c:v>0.15384507696776673</c:v>
                </c:pt>
                <c:pt idx="82">
                  <c:v>0.15525023217087131</c:v>
                </c:pt>
                <c:pt idx="83">
                  <c:v>0.1566451444956356</c:v>
                </c:pt>
                <c:pt idx="84">
                  <c:v>0.1580298722437371</c:v>
                </c:pt>
                <c:pt idx="85">
                  <c:v>0.15940447340713781</c:v>
                </c:pt>
                <c:pt idx="86">
                  <c:v>0.16076900566967867</c:v>
                </c:pt>
                <c:pt idx="87">
                  <c:v>0.16212352640867145</c:v>
                </c:pt>
                <c:pt idx="88">
                  <c:v>0.16346809269647999</c:v>
                </c:pt>
                <c:pt idx="89">
                  <c:v>0.16480276130209426</c:v>
                </c:pt>
                <c:pt idx="90">
                  <c:v>0.16612758869269517</c:v>
                </c:pt>
                <c:pt idx="91">
                  <c:v>0.16744263103521362</c:v>
                </c:pt>
                <c:pt idx="92">
                  <c:v>0.1687479441978802</c:v>
                </c:pt>
                <c:pt idx="93">
                  <c:v>0.17004358375176631</c:v>
                </c:pt>
                <c:pt idx="94">
                  <c:v>0.17132960497231942</c:v>
                </c:pt>
                <c:pt idx="95">
                  <c:v>0.17260606284088909</c:v>
                </c:pt>
                <c:pt idx="96">
                  <c:v>0.17387301204624495</c:v>
                </c:pt>
                <c:pt idx="97">
                  <c:v>0.17513050698608867</c:v>
                </c:pt>
                <c:pt idx="98">
                  <c:v>0.17637860176855669</c:v>
                </c:pt>
                <c:pt idx="99">
                  <c:v>0.17761735021371594</c:v>
                </c:pt>
                <c:pt idx="100">
                  <c:v>0.17884680585505064</c:v>
                </c:pt>
                <c:pt idx="101">
                  <c:v>0.18006702194094548</c:v>
                </c:pt>
                <c:pt idx="102">
                  <c:v>0.18127805143615527</c:v>
                </c:pt>
                <c:pt idx="103">
                  <c:v>0.18247994702327264</c:v>
                </c:pt>
                <c:pt idx="104">
                  <c:v>0.18367276110418451</c:v>
                </c:pt>
                <c:pt idx="105">
                  <c:v>0.184856545801524</c:v>
                </c:pt>
                <c:pt idx="106">
                  <c:v>0.18603135296011208</c:v>
                </c:pt>
                <c:pt idx="107">
                  <c:v>0.18719723414839473</c:v>
                </c:pt>
                <c:pt idx="108">
                  <c:v>0.1883542406598705</c:v>
                </c:pt>
                <c:pt idx="109">
                  <c:v>0.18950242351451163</c:v>
                </c:pt>
                <c:pt idx="110">
                  <c:v>0.19064183346017927</c:v>
                </c:pt>
                <c:pt idx="111">
                  <c:v>0.1917725209740283</c:v>
                </c:pt>
                <c:pt idx="112">
                  <c:v>0.19289453626390962</c:v>
                </c:pt>
                <c:pt idx="113">
                  <c:v>0.19400792926975996</c:v>
                </c:pt>
                <c:pt idx="114">
                  <c:v>0.19511274966498904</c:v>
                </c:pt>
                <c:pt idx="115">
                  <c:v>0.19620904685785667</c:v>
                </c:pt>
                <c:pt idx="116">
                  <c:v>0.19729686999284624</c:v>
                </c:pt>
                <c:pt idx="117">
                  <c:v>0.19837626795202667</c:v>
                </c:pt>
                <c:pt idx="118">
                  <c:v>0.19944728935641121</c:v>
                </c:pt>
                <c:pt idx="119">
                  <c:v>0.20050998256730779</c:v>
                </c:pt>
                <c:pt idx="120">
                  <c:v>0.20156439568766193</c:v>
                </c:pt>
                <c:pt idx="121">
                  <c:v>0.20261057656339532</c:v>
                </c:pt>
                <c:pt idx="122">
                  <c:v>0.20364857278473358</c:v>
                </c:pt>
                <c:pt idx="123">
                  <c:v>0.20467843168753164</c:v>
                </c:pt>
                <c:pt idx="124">
                  <c:v>0.20570020035458803</c:v>
                </c:pt>
                <c:pt idx="125">
                  <c:v>0.20671392561695712</c:v>
                </c:pt>
                <c:pt idx="126">
                  <c:v>0.20771965405525017</c:v>
                </c:pt>
                <c:pt idx="127">
                  <c:v>0.20871743200093285</c:v>
                </c:pt>
                <c:pt idx="128">
                  <c:v>0.2097073055376153</c:v>
                </c:pt>
                <c:pt idx="129">
                  <c:v>0.21068932050233424</c:v>
                </c:pt>
                <c:pt idx="130">
                  <c:v>0.21166352248683151</c:v>
                </c:pt>
                <c:pt idx="131">
                  <c:v>0.21262995683882346</c:v>
                </c:pt>
                <c:pt idx="132">
                  <c:v>0.21358866866326398</c:v>
                </c:pt>
                <c:pt idx="133">
                  <c:v>0.21453970282360357</c:v>
                </c:pt>
                <c:pt idx="134">
                  <c:v>0.21548310394303849</c:v>
                </c:pt>
                <c:pt idx="135">
                  <c:v>0.21641891640575706</c:v>
                </c:pt>
                <c:pt idx="136">
                  <c:v>0.21734718435817701</c:v>
                </c:pt>
                <c:pt idx="137">
                  <c:v>0.21826795171017765</c:v>
                </c:pt>
                <c:pt idx="138">
                  <c:v>0.21918126213632472</c:v>
                </c:pt>
                <c:pt idx="139">
                  <c:v>0.22008715907709153</c:v>
                </c:pt>
                <c:pt idx="140">
                  <c:v>0.22098568574007071</c:v>
                </c:pt>
                <c:pt idx="141">
                  <c:v>0.22187688510118198</c:v>
                </c:pt>
                <c:pt idx="142">
                  <c:v>0.22276079990587289</c:v>
                </c:pt>
                <c:pt idx="143">
                  <c:v>0.22363747267031281</c:v>
                </c:pt>
                <c:pt idx="144">
                  <c:v>0.22450694568258378</c:v>
                </c:pt>
                <c:pt idx="145">
                  <c:v>0.22536926100385996</c:v>
                </c:pt>
                <c:pt idx="146">
                  <c:v>0.22622446046958733</c:v>
                </c:pt>
                <c:pt idx="147">
                  <c:v>0.22707258569065208</c:v>
                </c:pt>
                <c:pt idx="148">
                  <c:v>0.22791367805454621</c:v>
                </c:pt>
                <c:pt idx="149">
                  <c:v>0.22874777872652635</c:v>
                </c:pt>
                <c:pt idx="150">
                  <c:v>0.22957492865076595</c:v>
                </c:pt>
                <c:pt idx="151">
                  <c:v>0.23039516855150238</c:v>
                </c:pt>
                <c:pt idx="152">
                  <c:v>0.2312085389341787</c:v>
                </c:pt>
                <c:pt idx="153">
                  <c:v>0.23201508008657767</c:v>
                </c:pt>
                <c:pt idx="154">
                  <c:v>0.23281483207995224</c:v>
                </c:pt>
                <c:pt idx="155">
                  <c:v>0.23360783477014863</c:v>
                </c:pt>
                <c:pt idx="156">
                  <c:v>0.23439412779872459</c:v>
                </c:pt>
                <c:pt idx="157">
                  <c:v>0.2351737505940617</c:v>
                </c:pt>
                <c:pt idx="158">
                  <c:v>0.23594674237247176</c:v>
                </c:pt>
                <c:pt idx="159">
                  <c:v>0.23671314213929789</c:v>
                </c:pt>
                <c:pt idx="160">
                  <c:v>0.2374729886900096</c:v>
                </c:pt>
                <c:pt idx="161">
                  <c:v>0.23822632061129284</c:v>
                </c:pt>
                <c:pt idx="162">
                  <c:v>0.23897317628213466</c:v>
                </c:pt>
                <c:pt idx="163">
                  <c:v>0.23971359387490015</c:v>
                </c:pt>
                <c:pt idx="164">
                  <c:v>0.24044761135640808</c:v>
                </c:pt>
                <c:pt idx="165">
                  <c:v>0.24117526648899607</c:v>
                </c:pt>
                <c:pt idx="166">
                  <c:v>0.24189659683158471</c:v>
                </c:pt>
                <c:pt idx="167">
                  <c:v>0.24261163974073335</c:v>
                </c:pt>
                <c:pt idx="168">
                  <c:v>0.24332043237169204</c:v>
                </c:pt>
                <c:pt idx="169">
                  <c:v>0.2440230116794474</c:v>
                </c:pt>
                <c:pt idx="170">
                  <c:v>0.24471941441976286</c:v>
                </c:pt>
                <c:pt idx="171">
                  <c:v>0.24540967715021528</c:v>
                </c:pt>
                <c:pt idx="172">
                  <c:v>0.24609383623122333</c:v>
                </c:pt>
                <c:pt idx="173">
                  <c:v>0.24677192782707447</c:v>
                </c:pt>
                <c:pt idx="174">
                  <c:v>0.24744398790694283</c:v>
                </c:pt>
                <c:pt idx="175">
                  <c:v>0.24811005224590388</c:v>
                </c:pt>
                <c:pt idx="176">
                  <c:v>0.24877015642594508</c:v>
                </c:pt>
                <c:pt idx="177">
                  <c:v>0.24942433583696799</c:v>
                </c:pt>
                <c:pt idx="178">
                  <c:v>0.25007262567778882</c:v>
                </c:pt>
                <c:pt idx="179">
                  <c:v>0.25071506095713125</c:v>
                </c:pt>
                <c:pt idx="180">
                  <c:v>0.25135167649461626</c:v>
                </c:pt>
                <c:pt idx="181">
                  <c:v>0.25198250692174484</c:v>
                </c:pt>
                <c:pt idx="182">
                  <c:v>0.25260758668287714</c:v>
                </c:pt>
                <c:pt idx="183">
                  <c:v>0.25322695003620654</c:v>
                </c:pt>
                <c:pt idx="184">
                  <c:v>0.25384063105472798</c:v>
                </c:pt>
                <c:pt idx="185">
                  <c:v>0.25444866362720153</c:v>
                </c:pt>
                <c:pt idx="186">
                  <c:v>0.25505108145911232</c:v>
                </c:pt>
                <c:pt idx="187">
                  <c:v>0.25564791807362336</c:v>
                </c:pt>
                <c:pt idx="188">
                  <c:v>0.25623920681252504</c:v>
                </c:pt>
                <c:pt idx="189">
                  <c:v>0.25682498083717964</c:v>
                </c:pt>
                <c:pt idx="190">
                  <c:v>0.25740527312946093</c:v>
                </c:pt>
                <c:pt idx="191">
                  <c:v>0.25798011649268809</c:v>
                </c:pt>
                <c:pt idx="192">
                  <c:v>0.25854954355255605</c:v>
                </c:pt>
                <c:pt idx="193">
                  <c:v>0.25911358675806068</c:v>
                </c:pt>
                <c:pt idx="194">
                  <c:v>0.25967227838241896</c:v>
                </c:pt>
                <c:pt idx="195">
                  <c:v>0.26022565052398455</c:v>
                </c:pt>
                <c:pt idx="196">
                  <c:v>0.26077373510715979</c:v>
                </c:pt>
                <c:pt idx="197">
                  <c:v>0.26131656388330032</c:v>
                </c:pt>
                <c:pt idx="198">
                  <c:v>0.26185416843161835</c:v>
                </c:pt>
                <c:pt idx="199">
                  <c:v>0.26238658016007893</c:v>
                </c:pt>
                <c:pt idx="200">
                  <c:v>0.26291383030629245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AD-4F1D-AEF7-A3F44DFC1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83072"/>
        <c:axId val="144381056"/>
      </c:scatterChart>
      <c:valAx>
        <c:axId val="144883072"/>
        <c:scaling>
          <c:orientation val="minMax"/>
          <c:max val="50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381056"/>
        <c:crossesAt val="-100"/>
        <c:crossBetween val="midCat"/>
      </c:valAx>
      <c:valAx>
        <c:axId val="144381056"/>
        <c:scaling>
          <c:orientation val="minMax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crossAx val="144883072"/>
        <c:crosses val="autoZero"/>
        <c:crossBetween val="midCat"/>
        <c:majorUnit val="0.1"/>
      </c:valAx>
    </c:plotArea>
    <c:legend>
      <c:legendPos val="b"/>
      <c:layout>
        <c:manualLayout>
          <c:xMode val="edge"/>
          <c:yMode val="edge"/>
          <c:x val="0.19178817822029173"/>
          <c:y val="0.94366569968227654"/>
          <c:w val="0.61991392495554043"/>
          <c:h val="4.229921259842519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Yield</a:t>
            </a:r>
            <a:r>
              <a:rPr lang="en-US" sz="1400" baseline="0"/>
              <a:t> Curve</a:t>
            </a:r>
            <a:endParaRPr lang="en-US" sz="14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940131404057163E-2"/>
          <c:y val="7.5304139614127186E-2"/>
          <c:w val="0.8913672129231559"/>
          <c:h val="0.86609550122024226"/>
        </c:manualLayout>
      </c:layout>
      <c:scatterChart>
        <c:scatterStyle val="lineMarker"/>
        <c:varyColors val="0"/>
        <c:ser>
          <c:idx val="3"/>
          <c:order val="0"/>
          <c:tx>
            <c:strRef>
              <c:f>'Svensson Curve Yield'!$J$30</c:f>
              <c:strCache>
                <c:ptCount val="1"/>
                <c:pt idx="0">
                  <c:v>Yield</c:v>
                </c:pt>
              </c:strCache>
            </c:strRef>
          </c:tx>
          <c:marker>
            <c:symbol val="none"/>
          </c:marker>
          <c:xVal>
            <c:numRef>
              <c:f>'Svensson Curve Yield'!$E$31:$E$231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</c:numCache>
            </c:numRef>
          </c:xVal>
          <c:yVal>
            <c:numRef>
              <c:f>'Svensson Curve Yield'!$J$31:$J$231</c:f>
              <c:numCache>
                <c:formatCode>0.00000</c:formatCode>
                <c:ptCount val="201"/>
                <c:pt idx="0">
                  <c:v>6.9472509948190729E-4</c:v>
                </c:pt>
                <c:pt idx="1">
                  <c:v>9.9971112986186727E-5</c:v>
                </c:pt>
                <c:pt idx="2">
                  <c:v>-3.7864964726754143E-4</c:v>
                </c:pt>
                <c:pt idx="3">
                  <c:v>-7.5612207038598797E-4</c:v>
                </c:pt>
                <c:pt idx="4">
                  <c:v>-1.0454662951324403E-3</c:v>
                </c:pt>
                <c:pt idx="5">
                  <c:v>-1.2580006267630872E-3</c:v>
                </c:pt>
                <c:pt idx="6">
                  <c:v>-1.4035688007767002E-3</c:v>
                </c:pt>
                <c:pt idx="7">
                  <c:v>-1.490736471536633E-3</c:v>
                </c:pt>
                <c:pt idx="8">
                  <c:v>-1.5269611321541113E-3</c:v>
                </c:pt>
                <c:pt idx="9">
                  <c:v>-1.5187390933322211E-3</c:v>
                </c:pt>
                <c:pt idx="10">
                  <c:v>-1.4717326501616874E-3</c:v>
                </c:pt>
                <c:pt idx="11">
                  <c:v>-1.39088013607479E-3</c:v>
                </c:pt>
                <c:pt idx="12">
                  <c:v>-1.2804911926754267E-3</c:v>
                </c:pt>
                <c:pt idx="13">
                  <c:v>-1.1443292648462321E-3</c:v>
                </c:pt>
                <c:pt idx="14">
                  <c:v>-9.8568305519583684E-4</c:v>
                </c:pt>
                <c:pt idx="15">
                  <c:v>-8.0742843456061298E-4</c:v>
                </c:pt>
                <c:pt idx="16">
                  <c:v>-6.1208210057662246E-4</c:v>
                </c:pt>
                <c:pt idx="17">
                  <c:v>-4.0184809982867723E-4</c:v>
                </c:pt>
                <c:pt idx="18">
                  <c:v>-1.7865817683738062E-4</c:v>
                </c:pt>
                <c:pt idx="19">
                  <c:v>5.5793218179655928E-5</c:v>
                </c:pt>
                <c:pt idx="20">
                  <c:v>3.0001854412762142E-4</c:v>
                </c:pt>
                <c:pt idx="21">
                  <c:v>5.5271078555035012E-4</c:v>
                </c:pt>
                <c:pt idx="22">
                  <c:v>8.1272053429688566E-4</c:v>
                </c:pt>
                <c:pt idx="23">
                  <c:v>1.079036072609979E-3</c:v>
                </c:pt>
                <c:pt idx="24">
                  <c:v>1.3507660567376439E-3</c:v>
                </c:pt>
                <c:pt idx="25">
                  <c:v>1.6271244544237787E-3</c:v>
                </c:pt>
                <c:pt idx="26">
                  <c:v>1.9074174364791946E-3</c:v>
                </c:pt>
                <c:pt idx="27">
                  <c:v>2.1910319630813815E-3</c:v>
                </c:pt>
                <c:pt idx="28">
                  <c:v>2.4774258403963065E-3</c:v>
                </c:pt>
                <c:pt idx="29">
                  <c:v>2.7661190532998689E-3</c:v>
                </c:pt>
                <c:pt idx="30">
                  <c:v>3.0566862060551706E-3</c:v>
                </c:pt>
                <c:pt idx="31">
                  <c:v>3.3487499253405124E-3</c:v>
                </c:pt>
                <c:pt idx="32">
                  <c:v>3.6419750995097516E-3</c:v>
                </c:pt>
                <c:pt idx="33">
                  <c:v>3.9360638448037739E-3</c:v>
                </c:pt>
                <c:pt idx="34">
                  <c:v>4.230751103802206E-3</c:v>
                </c:pt>
                <c:pt idx="35">
                  <c:v>4.5258007939977477E-3</c:v>
                </c:pt>
                <c:pt idx="36">
                  <c:v>4.8210024352791803E-3</c:v>
                </c:pt>
                <c:pt idx="37">
                  <c:v>5.1161681945344362E-3</c:v>
                </c:pt>
                <c:pt idx="38">
                  <c:v>5.411130293752309E-3</c:v>
                </c:pt>
                <c:pt idx="39">
                  <c:v>5.7057387350668808E-3</c:v>
                </c:pt>
                <c:pt idx="40">
                  <c:v>5.9998593023071235E-3</c:v>
                </c:pt>
                <c:pt idx="41">
                  <c:v>6.2933718039200632E-3</c:v>
                </c:pt>
                <c:pt idx="42">
                  <c:v>6.5861685267246551E-3</c:v>
                </c:pt>
                <c:pt idx="43">
                  <c:v>6.8781528739379795E-3</c:v>
                </c:pt>
                <c:pt idx="44">
                  <c:v>7.1692381643669676E-3</c:v>
                </c:pt>
                <c:pt idx="45">
                  <c:v>7.4593465726520564E-3</c:v>
                </c:pt>
                <c:pt idx="46">
                  <c:v>7.7484081930480411E-3</c:v>
                </c:pt>
                <c:pt idx="47">
                  <c:v>8.0363602114797532E-3</c:v>
                </c:pt>
                <c:pt idx="48">
                  <c:v>8.323146172569594E-3</c:v>
                </c:pt>
                <c:pt idx="49">
                  <c:v>8.6087153300327263E-3</c:v>
                </c:pt>
                <c:pt idx="50">
                  <c:v>8.8930220703127803E-3</c:v>
                </c:pt>
                <c:pt idx="51">
                  <c:v>9.1760254006153976E-3</c:v>
                </c:pt>
                <c:pt idx="52">
                  <c:v>9.4576884936120875E-3</c:v>
                </c:pt>
                <c:pt idx="53">
                  <c:v>9.7379782820606747E-3</c:v>
                </c:pt>
                <c:pt idx="54">
                  <c:v>1.001686509743026E-2</c:v>
                </c:pt>
                <c:pt idx="55">
                  <c:v>1.0294322347358258E-2</c:v>
                </c:pt>
                <c:pt idx="56">
                  <c:v>1.0570326227406635E-2</c:v>
                </c:pt>
                <c:pt idx="57">
                  <c:v>1.08448554631427E-2</c:v>
                </c:pt>
                <c:pt idx="58">
                  <c:v>1.1117891079060247E-2</c:v>
                </c:pt>
                <c:pt idx="59">
                  <c:v>1.1389416191277386E-2</c:v>
                </c:pt>
                <c:pt idx="60">
                  <c:v>1.1659415821324483E-2</c:v>
                </c:pt>
                <c:pt idx="61">
                  <c:v>1.19278767286547E-2</c:v>
                </c:pt>
                <c:pt idx="62">
                  <c:v>1.2194787259797382E-2</c:v>
                </c:pt>
                <c:pt idx="63">
                  <c:v>1.2460137212319063E-2</c:v>
                </c:pt>
                <c:pt idx="64">
                  <c:v>1.272391771197645E-2</c:v>
                </c:pt>
                <c:pt idx="65">
                  <c:v>1.2986121101635485E-2</c:v>
                </c:pt>
                <c:pt idx="66">
                  <c:v>1.3246740840694344E-2</c:v>
                </c:pt>
                <c:pt idx="67">
                  <c:v>1.3505771413899095E-2</c:v>
                </c:pt>
                <c:pt idx="68">
                  <c:v>1.3763208248564082E-2</c:v>
                </c:pt>
                <c:pt idx="69">
                  <c:v>1.4019047639325703E-2</c:v>
                </c:pt>
                <c:pt idx="70">
                  <c:v>1.4273286679653737E-2</c:v>
                </c:pt>
                <c:pt idx="71">
                  <c:v>1.4525923199434375E-2</c:v>
                </c:pt>
                <c:pt idx="72">
                  <c:v>1.477695570801368E-2</c:v>
                </c:pt>
                <c:pt idx="73">
                  <c:v>1.5026383342158346E-2</c:v>
                </c:pt>
                <c:pt idx="74">
                  <c:v>1.5274205818450966E-2</c:v>
                </c:pt>
                <c:pt idx="75">
                  <c:v>1.5520423389687314E-2</c:v>
                </c:pt>
                <c:pt idx="76">
                  <c:v>1.5765036804893155E-2</c:v>
                </c:pt>
                <c:pt idx="77">
                  <c:v>1.6008047272614519E-2</c:v>
                </c:pt>
                <c:pt idx="78">
                  <c:v>1.6249456427176283E-2</c:v>
                </c:pt>
                <c:pt idx="79">
                  <c:v>1.6489266297632234E-2</c:v>
                </c:pt>
                <c:pt idx="80">
                  <c:v>1.6727479279161392E-2</c:v>
                </c:pt>
                <c:pt idx="81">
                  <c:v>1.6964098106687767E-2</c:v>
                </c:pt>
                <c:pt idx="82">
                  <c:v>1.7199125830525935E-2</c:v>
                </c:pt>
                <c:pt idx="83">
                  <c:v>1.7432565793873128E-2</c:v>
                </c:pt>
                <c:pt idx="84">
                  <c:v>1.7664421611985663E-2</c:v>
                </c:pt>
                <c:pt idx="85">
                  <c:v>1.7894697152896891E-2</c:v>
                </c:pt>
                <c:pt idx="86">
                  <c:v>1.8123396519542596E-2</c:v>
                </c:pt>
                <c:pt idx="87">
                  <c:v>1.8350524033177804E-2</c:v>
                </c:pt>
                <c:pt idx="88">
                  <c:v>1.8576084217976331E-2</c:v>
                </c:pt>
                <c:pt idx="89">
                  <c:v>1.8800081786716619E-2</c:v>
                </c:pt>
                <c:pt idx="90">
                  <c:v>1.9022521627465344E-2</c:v>
                </c:pt>
                <c:pt idx="91">
                  <c:v>1.9243408791179566E-2</c:v>
                </c:pt>
                <c:pt idx="92">
                  <c:v>1.9462748480153981E-2</c:v>
                </c:pt>
                <c:pt idx="93">
                  <c:v>1.9680546037247441E-2</c:v>
                </c:pt>
                <c:pt idx="94">
                  <c:v>1.9896806935828855E-2</c:v>
                </c:pt>
                <c:pt idx="95">
                  <c:v>2.0111536770387059E-2</c:v>
                </c:pt>
                <c:pt idx="96">
                  <c:v>2.0324741247754605E-2</c:v>
                </c:pt>
                <c:pt idx="97">
                  <c:v>2.053642617890012E-2</c:v>
                </c:pt>
                <c:pt idx="98">
                  <c:v>2.0746597471246651E-2</c:v>
                </c:pt>
                <c:pt idx="99">
                  <c:v>2.095526112147808E-2</c:v>
                </c:pt>
                <c:pt idx="100">
                  <c:v>2.1162423208797951E-2</c:v>
                </c:pt>
                <c:pt idx="101">
                  <c:v>2.1368089888609478E-2</c:v>
                </c:pt>
                <c:pt idx="102">
                  <c:v>2.1572267386585284E-2</c:v>
                </c:pt>
                <c:pt idx="103">
                  <c:v>2.1774961993101485E-2</c:v>
                </c:pt>
                <c:pt idx="104">
                  <c:v>2.1976180058009696E-2</c:v>
                </c:pt>
                <c:pt idx="105">
                  <c:v>2.2175927985724618E-2</c:v>
                </c:pt>
                <c:pt idx="106">
                  <c:v>2.237421223060522E-2</c:v>
                </c:pt>
                <c:pt idx="107">
                  <c:v>2.2571039292610614E-2</c:v>
                </c:pt>
                <c:pt idx="108">
                  <c:v>2.2766415713211682E-2</c:v>
                </c:pt>
                <c:pt idx="109">
                  <c:v>2.2960348071542139E-2</c:v>
                </c:pt>
                <c:pt idx="110">
                  <c:v>2.3152842980773577E-2</c:v>
                </c:pt>
                <c:pt idx="111">
                  <c:v>2.3343907084699404E-2</c:v>
                </c:pt>
                <c:pt idx="112">
                  <c:v>2.3533547054515491E-2</c:v>
                </c:pt>
                <c:pt idx="113">
                  <c:v>2.3721769585783668E-2</c:v>
                </c:pt>
                <c:pt idx="114">
                  <c:v>2.3908581395568076E-2</c:v>
                </c:pt>
                <c:pt idx="115">
                  <c:v>2.4093989219732589E-2</c:v>
                </c:pt>
                <c:pt idx="116">
                  <c:v>2.4277999810390343E-2</c:v>
                </c:pt>
                <c:pt idx="117">
                  <c:v>2.4460619933494868E-2</c:v>
                </c:pt>
                <c:pt idx="118">
                  <c:v>2.4641856366565663E-2</c:v>
                </c:pt>
                <c:pt idx="119">
                  <c:v>2.4821715896539271E-2</c:v>
                </c:pt>
                <c:pt idx="120">
                  <c:v>2.5000205317738555E-2</c:v>
                </c:pt>
                <c:pt idx="121">
                  <c:v>2.5177331429953782E-2</c:v>
                </c:pt>
                <c:pt idx="122">
                  <c:v>2.5353101036627877E-2</c:v>
                </c:pt>
                <c:pt idx="123">
                  <c:v>2.5527520943141212E-2</c:v>
                </c:pt>
                <c:pt idx="124">
                  <c:v>2.5700597955188781E-2</c:v>
                </c:pt>
                <c:pt idx="125">
                  <c:v>2.5872338877245979E-2</c:v>
                </c:pt>
                <c:pt idx="126">
                  <c:v>2.6042750511116528E-2</c:v>
                </c:pt>
                <c:pt idx="127">
                  <c:v>2.6211839654559019E-2</c:v>
                </c:pt>
                <c:pt idx="128">
                  <c:v>2.6379613099987334E-2</c:v>
                </c:pt>
                <c:pt idx="129">
                  <c:v>2.6546077633240413E-2</c:v>
                </c:pt>
                <c:pt idx="130">
                  <c:v>2.6711240032418721E-2</c:v>
                </c:pt>
                <c:pt idx="131">
                  <c:v>2.6875107066782367E-2</c:v>
                </c:pt>
                <c:pt idx="132">
                  <c:v>2.7037685495708463E-2</c:v>
                </c:pt>
                <c:pt idx="133">
                  <c:v>2.7198982067704554E-2</c:v>
                </c:pt>
                <c:pt idx="134">
                  <c:v>2.7359003519474394E-2</c:v>
                </c:pt>
                <c:pt idx="135">
                  <c:v>2.7517756575034351E-2</c:v>
                </c:pt>
                <c:pt idx="136">
                  <c:v>2.7675247944876767E-2</c:v>
                </c:pt>
                <c:pt idx="137">
                  <c:v>2.783148432517845E-2</c:v>
                </c:pt>
                <c:pt idx="138">
                  <c:v>2.7986472397051626E-2</c:v>
                </c:pt>
                <c:pt idx="139">
                  <c:v>2.8140218825835658E-2</c:v>
                </c:pt>
                <c:pt idx="140">
                  <c:v>2.8292730260426641E-2</c:v>
                </c:pt>
                <c:pt idx="141">
                  <c:v>2.8444013332643681E-2</c:v>
                </c:pt>
                <c:pt idx="142">
                  <c:v>2.8594074656629619E-2</c:v>
                </c:pt>
                <c:pt idx="143">
                  <c:v>2.8742920828284405E-2</c:v>
                </c:pt>
                <c:pt idx="144">
                  <c:v>2.8890558424730116E-2</c:v>
                </c:pt>
                <c:pt idx="145">
                  <c:v>2.9036994003804759E-2</c:v>
                </c:pt>
                <c:pt idx="146">
                  <c:v>2.9182234103585142E-2</c:v>
                </c:pt>
                <c:pt idx="147">
                  <c:v>2.9326285241935729E-2</c:v>
                </c:pt>
                <c:pt idx="148">
                  <c:v>2.9469153916083395E-2</c:v>
                </c:pt>
                <c:pt idx="149">
                  <c:v>2.9610846602216252E-2</c:v>
                </c:pt>
                <c:pt idx="150">
                  <c:v>2.9751369755105422E-2</c:v>
                </c:pt>
                <c:pt idx="151">
                  <c:v>2.9890729807748824E-2</c:v>
                </c:pt>
                <c:pt idx="152">
                  <c:v>3.0028933171035943E-2</c:v>
                </c:pt>
                <c:pt idx="153">
                  <c:v>3.016598623343212E-2</c:v>
                </c:pt>
                <c:pt idx="154">
                  <c:v>3.0301895360682167E-2</c:v>
                </c:pt>
                <c:pt idx="155">
                  <c:v>3.0436666895531764E-2</c:v>
                </c:pt>
                <c:pt idx="156">
                  <c:v>3.0570307157466104E-2</c:v>
                </c:pt>
                <c:pt idx="157">
                  <c:v>3.0702822442465E-2</c:v>
                </c:pt>
                <c:pt idx="158">
                  <c:v>3.0834219022773453E-2</c:v>
                </c:pt>
                <c:pt idx="159">
                  <c:v>3.0964503146687236E-2</c:v>
                </c:pt>
                <c:pt idx="160">
                  <c:v>3.1093681038352583E-2</c:v>
                </c:pt>
                <c:pt idx="161">
                  <c:v>3.1221758897579527E-2</c:v>
                </c:pt>
                <c:pt idx="162">
                  <c:v>3.1348742899668137E-2</c:v>
                </c:pt>
                <c:pt idx="163">
                  <c:v>3.1474639195246831E-2</c:v>
                </c:pt>
                <c:pt idx="164">
                  <c:v>3.159945391012306E-2</c:v>
                </c:pt>
                <c:pt idx="165">
                  <c:v>3.1723193145144393E-2</c:v>
                </c:pt>
                <c:pt idx="166">
                  <c:v>3.184586297607115E-2</c:v>
                </c:pt>
                <c:pt idx="167">
                  <c:v>3.1967469453458686E-2</c:v>
                </c:pt>
                <c:pt idx="168">
                  <c:v>3.2088018602549777E-2</c:v>
                </c:pt>
                <c:pt idx="169">
                  <c:v>3.2207516423176222E-2</c:v>
                </c:pt>
                <c:pt idx="170">
                  <c:v>3.2325968889669252E-2</c:v>
                </c:pt>
                <c:pt idx="171">
                  <c:v>3.2443381950778866E-2</c:v>
                </c:pt>
                <c:pt idx="172">
                  <c:v>3.2559761529600717E-2</c:v>
                </c:pt>
                <c:pt idx="173">
                  <c:v>3.2675113523511434E-2</c:v>
                </c:pt>
                <c:pt idx="174">
                  <c:v>3.2789443804110835E-2</c:v>
                </c:pt>
                <c:pt idx="175">
                  <c:v>3.2902758217171424E-2</c:v>
                </c:pt>
                <c:pt idx="176">
                  <c:v>3.3015062582594984E-2</c:v>
                </c:pt>
                <c:pt idx="177">
                  <c:v>3.3126362694375119E-2</c:v>
                </c:pt>
                <c:pt idx="178">
                  <c:v>3.3236664320566503E-2</c:v>
                </c:pt>
                <c:pt idx="179">
                  <c:v>3.3345973203259681E-2</c:v>
                </c:pt>
                <c:pt idx="180">
                  <c:v>3.3454295058561928E-2</c:v>
                </c:pt>
                <c:pt idx="181">
                  <c:v>3.3561635576583121E-2</c:v>
                </c:pt>
                <c:pt idx="182">
                  <c:v>3.3668000421427077E-2</c:v>
                </c:pt>
                <c:pt idx="183">
                  <c:v>3.3773395231187858E-2</c:v>
                </c:pt>
                <c:pt idx="184">
                  <c:v>3.3877825617950635E-2</c:v>
                </c:pt>
                <c:pt idx="185">
                  <c:v>3.3981297167797186E-2</c:v>
                </c:pt>
                <c:pt idx="186">
                  <c:v>3.4083815440815915E-2</c:v>
                </c:pt>
                <c:pt idx="187">
                  <c:v>3.4185385971115638E-2</c:v>
                </c:pt>
                <c:pt idx="188">
                  <c:v>3.4286014266843606E-2</c:v>
                </c:pt>
                <c:pt idx="189">
                  <c:v>3.4385705810207293E-2</c:v>
                </c:pt>
                <c:pt idx="190">
                  <c:v>3.4484466057499844E-2</c:v>
                </c:pt>
                <c:pt idx="191">
                  <c:v>3.4582300439128751E-2</c:v>
                </c:pt>
                <c:pt idx="192">
                  <c:v>3.467921435964811E-2</c:v>
                </c:pt>
                <c:pt idx="193">
                  <c:v>3.4775213197793975E-2</c:v>
                </c:pt>
                <c:pt idx="194">
                  <c:v>3.4870302306522646E-2</c:v>
                </c:pt>
                <c:pt idx="195">
                  <c:v>3.4964487013051972E-2</c:v>
                </c:pt>
                <c:pt idx="196">
                  <c:v>3.5057772618905456E-2</c:v>
                </c:pt>
                <c:pt idx="197">
                  <c:v>3.5150164399958696E-2</c:v>
                </c:pt>
                <c:pt idx="198">
                  <c:v>3.524166760648878E-2</c:v>
                </c:pt>
                <c:pt idx="199">
                  <c:v>3.5332287463225809E-2</c:v>
                </c:pt>
                <c:pt idx="200">
                  <c:v>3.5422029169406732E-2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F-4D70-9B7B-E2B8F5F7913F}"/>
            </c:ext>
          </c:extLst>
        </c:ser>
        <c:ser>
          <c:idx val="0"/>
          <c:order val="1"/>
          <c:tx>
            <c:v>Yield Target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'Svensson Curve Yield'!$L$32:$L$35</c:f>
              <c:numCache>
                <c:formatCode>0.00</c:formatCode>
                <c:ptCount val="4"/>
                <c:pt idx="0">
                  <c:v>0.25</c:v>
                </c:pt>
                <c:pt idx="1">
                  <c:v>5</c:v>
                </c:pt>
                <c:pt idx="2">
                  <c:v>10</c:v>
                </c:pt>
                <c:pt idx="3">
                  <c:v>30</c:v>
                </c:pt>
              </c:numCache>
            </c:numRef>
          </c:xVal>
          <c:yVal>
            <c:numRef>
              <c:f>'Svensson Curve Yield'!$M$32:$M$35</c:f>
              <c:numCache>
                <c:formatCode>0.00000</c:formatCode>
                <c:ptCount val="4"/>
                <c:pt idx="0">
                  <c:v>1E-4</c:v>
                </c:pt>
                <c:pt idx="1">
                  <c:v>2.9999999999999997E-4</c:v>
                </c:pt>
                <c:pt idx="2">
                  <c:v>6.0000000000000001E-3</c:v>
                </c:pt>
                <c:pt idx="3">
                  <c:v>2.5000000000000001E-2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F-4D70-9B7B-E2B8F5F79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9728"/>
        <c:axId val="144411648"/>
      </c:scatterChart>
      <c:valAx>
        <c:axId val="144409728"/>
        <c:scaling>
          <c:orientation val="minMax"/>
          <c:max val="50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411648"/>
        <c:crossesAt val="-100"/>
        <c:crossBetween val="midCat"/>
      </c:valAx>
      <c:valAx>
        <c:axId val="144411648"/>
        <c:scaling>
          <c:orientation val="minMax"/>
          <c:max val="0.1"/>
          <c:min val="-2.0000000000000004E-2"/>
        </c:scaling>
        <c:delete val="0"/>
        <c:axPos val="l"/>
        <c:majorGridlines/>
        <c:numFmt formatCode="#,##0.0000" sourceLinked="0"/>
        <c:majorTickMark val="out"/>
        <c:minorTickMark val="none"/>
        <c:tickLblPos val="nextTo"/>
        <c:crossAx val="144409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47625</xdr:rowOff>
    </xdr:from>
    <xdr:to>
      <xdr:col>12</xdr:col>
      <xdr:colOff>57150</xdr:colOff>
      <xdr:row>28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0</xdr:row>
      <xdr:rowOff>47625</xdr:rowOff>
    </xdr:from>
    <xdr:to>
      <xdr:col>23</xdr:col>
      <xdr:colOff>400049</xdr:colOff>
      <xdr:row>28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9526</xdr:colOff>
      <xdr:row>29</xdr:row>
      <xdr:rowOff>28575</xdr:rowOff>
    </xdr:from>
    <xdr:to>
      <xdr:col>23</xdr:col>
      <xdr:colOff>385755</xdr:colOff>
      <xdr:row>34</xdr:row>
      <xdr:rowOff>30361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72226" y="5553075"/>
          <a:ext cx="7691429" cy="95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47625</xdr:rowOff>
    </xdr:from>
    <xdr:to>
      <xdr:col>12</xdr:col>
      <xdr:colOff>57150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0</xdr:row>
      <xdr:rowOff>47625</xdr:rowOff>
    </xdr:from>
    <xdr:to>
      <xdr:col>23</xdr:col>
      <xdr:colOff>400049</xdr:colOff>
      <xdr:row>28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9526</xdr:colOff>
      <xdr:row>29</xdr:row>
      <xdr:rowOff>28575</xdr:rowOff>
    </xdr:from>
    <xdr:to>
      <xdr:col>22</xdr:col>
      <xdr:colOff>538155</xdr:colOff>
      <xdr:row>34</xdr:row>
      <xdr:rowOff>30361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72226" y="5553075"/>
          <a:ext cx="7691429" cy="95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487680</xdr:colOff>
      <xdr:row>48</xdr:row>
      <xdr:rowOff>64770</xdr:rowOff>
    </xdr:from>
    <xdr:to>
      <xdr:col>19</xdr:col>
      <xdr:colOff>545218</xdr:colOff>
      <xdr:row>69</xdr:row>
      <xdr:rowOff>99396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A4A5AC-25BB-5FF6-E866-060DE4AF8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21090" y="8843010"/>
          <a:ext cx="4477138" cy="3875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47625</xdr:rowOff>
    </xdr:from>
    <xdr:to>
      <xdr:col>12</xdr:col>
      <xdr:colOff>57150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0</xdr:row>
      <xdr:rowOff>47625</xdr:rowOff>
    </xdr:from>
    <xdr:to>
      <xdr:col>23</xdr:col>
      <xdr:colOff>400049</xdr:colOff>
      <xdr:row>28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152400</xdr:colOff>
      <xdr:row>35</xdr:row>
      <xdr:rowOff>133350</xdr:rowOff>
    </xdr:from>
    <xdr:to>
      <xdr:col>24</xdr:col>
      <xdr:colOff>463868</xdr:colOff>
      <xdr:row>45</xdr:row>
      <xdr:rowOff>114064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34300" y="6800850"/>
          <a:ext cx="7617143" cy="1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31"/>
  <sheetViews>
    <sheetView tabSelected="1" topLeftCell="A18" zoomScale="110" zoomScaleNormal="110" workbookViewId="0">
      <selection activeCell="C31" sqref="C31"/>
    </sheetView>
  </sheetViews>
  <sheetFormatPr defaultRowHeight="14.4" x14ac:dyDescent="0.55000000000000004"/>
  <cols>
    <col min="1" max="1" width="2.15625" customWidth="1"/>
    <col min="2" max="2" width="11.15625" customWidth="1"/>
    <col min="3" max="3" width="12.83984375" customWidth="1"/>
    <col min="4" max="4" width="2.15625" customWidth="1"/>
    <col min="6" max="8" width="10" customWidth="1"/>
    <col min="9" max="9" width="9.68359375" customWidth="1"/>
  </cols>
  <sheetData>
    <row r="2" spans="4:4" x14ac:dyDescent="0.55000000000000004">
      <c r="D2" s="5"/>
    </row>
    <row r="3" spans="4:4" x14ac:dyDescent="0.55000000000000004">
      <c r="D3" s="5"/>
    </row>
    <row r="4" spans="4:4" x14ac:dyDescent="0.55000000000000004">
      <c r="D4" s="5"/>
    </row>
    <row r="5" spans="4:4" x14ac:dyDescent="0.55000000000000004">
      <c r="D5" s="5"/>
    </row>
    <row r="30" spans="2:9" x14ac:dyDescent="0.55000000000000004">
      <c r="B30" t="s">
        <v>0</v>
      </c>
      <c r="C30" s="5">
        <v>6.0900000000000003E-2</v>
      </c>
      <c r="E30" s="6" t="s">
        <v>1</v>
      </c>
      <c r="F30" s="6" t="s">
        <v>2</v>
      </c>
      <c r="G30" s="6" t="s">
        <v>3</v>
      </c>
      <c r="H30" s="6" t="s">
        <v>4</v>
      </c>
      <c r="I30" s="6" t="s">
        <v>8</v>
      </c>
    </row>
    <row r="31" spans="2:9" x14ac:dyDescent="0.55000000000000004">
      <c r="B31" t="s">
        <v>5</v>
      </c>
      <c r="C31" s="5">
        <v>0.05</v>
      </c>
      <c r="E31">
        <v>0</v>
      </c>
      <c r="F31">
        <v>1</v>
      </c>
      <c r="G31">
        <v>1</v>
      </c>
      <c r="H31">
        <v>0</v>
      </c>
      <c r="I31" s="3">
        <f t="array" ref="I31:I231">MMULT(F31:H231,C31:C33)</f>
        <v>2.5000000000000001E-2</v>
      </c>
    </row>
    <row r="32" spans="2:9" x14ac:dyDescent="0.55000000000000004">
      <c r="B32" t="s">
        <v>6</v>
      </c>
      <c r="C32" s="5">
        <v>-2.5000000000000001E-2</v>
      </c>
      <c r="E32" s="1">
        <v>0.25</v>
      </c>
      <c r="F32">
        <v>1</v>
      </c>
      <c r="G32" s="4">
        <f t="shared" ref="G32:G63" si="0">IF(lambda=0,1,(1-EXP(-lambda*$E32))/(lambda*$E32))</f>
        <v>0.99242598683560967</v>
      </c>
      <c r="H32" s="4">
        <f t="shared" ref="H32:H63" si="1">G32-EXP(-lambda*$E32)</f>
        <v>7.5356724851818324E-3</v>
      </c>
      <c r="I32" s="3">
        <v>2.5490777228517034E-2</v>
      </c>
    </row>
    <row r="33" spans="2:9" x14ac:dyDescent="0.55000000000000004">
      <c r="B33" t="s">
        <v>7</v>
      </c>
      <c r="C33" s="5">
        <v>0.04</v>
      </c>
      <c r="E33" s="1">
        <v>0.5</v>
      </c>
      <c r="F33">
        <v>1</v>
      </c>
      <c r="G33" s="4">
        <f t="shared" si="0"/>
        <v>0.98492836448983156</v>
      </c>
      <c r="H33" s="4">
        <f t="shared" si="1"/>
        <v>1.4919433188546938E-2</v>
      </c>
      <c r="I33" s="3">
        <v>2.5973568215296092E-2</v>
      </c>
    </row>
    <row r="34" spans="2:9" x14ac:dyDescent="0.55000000000000004">
      <c r="E34" s="1">
        <v>0.75</v>
      </c>
      <c r="F34">
        <v>1</v>
      </c>
      <c r="G34" s="4">
        <f t="shared" si="0"/>
        <v>0.97750626662189832</v>
      </c>
      <c r="H34" s="4">
        <f t="shared" si="1"/>
        <v>2.215386534985353E-2</v>
      </c>
      <c r="I34" s="3">
        <v>2.6448497948446684E-2</v>
      </c>
    </row>
    <row r="35" spans="2:9" x14ac:dyDescent="0.55000000000000004">
      <c r="E35" s="1">
        <v>1</v>
      </c>
      <c r="F35">
        <v>1</v>
      </c>
      <c r="G35" s="4">
        <f t="shared" si="0"/>
        <v>0.97015883736846753</v>
      </c>
      <c r="H35" s="4">
        <f t="shared" si="1"/>
        <v>2.9241510564207207E-2</v>
      </c>
      <c r="I35" s="3">
        <v>2.6915689488356601E-2</v>
      </c>
    </row>
    <row r="36" spans="2:9" x14ac:dyDescent="0.55000000000000004">
      <c r="E36" s="1">
        <v>1.25</v>
      </c>
      <c r="F36">
        <v>1</v>
      </c>
      <c r="G36" s="4">
        <f t="shared" si="0"/>
        <v>0.96288523121166147</v>
      </c>
      <c r="H36" s="4">
        <f t="shared" si="1"/>
        <v>3.6184869437649203E-2</v>
      </c>
      <c r="I36" s="3">
        <v>2.7375263997214433E-2</v>
      </c>
    </row>
    <row r="37" spans="2:9" x14ac:dyDescent="0.55000000000000004">
      <c r="E37" s="1">
        <v>1.5</v>
      </c>
      <c r="F37">
        <v>1</v>
      </c>
      <c r="G37" s="4">
        <f t="shared" si="0"/>
        <v>0.95568461284880013</v>
      </c>
      <c r="H37" s="4">
        <f t="shared" si="1"/>
        <v>4.2986402232538024E-2</v>
      </c>
      <c r="I37" s="3">
        <v>2.7827340768081521E-2</v>
      </c>
    </row>
    <row r="38" spans="2:9" x14ac:dyDescent="0.55000000000000004">
      <c r="E38" s="1">
        <v>1.75</v>
      </c>
      <c r="F38">
        <v>1</v>
      </c>
      <c r="G38" s="4">
        <f t="shared" si="0"/>
        <v>0.94855615706381924</v>
      </c>
      <c r="H38" s="4">
        <f t="shared" si="1"/>
        <v>4.9648529502895777E-2</v>
      </c>
      <c r="I38" s="3">
        <v>2.827203725352035E-2</v>
      </c>
    </row>
    <row r="39" spans="2:9" x14ac:dyDescent="0.55000000000000004">
      <c r="E39" s="1">
        <v>2</v>
      </c>
      <c r="F39">
        <v>1</v>
      </c>
      <c r="G39" s="4">
        <f t="shared" si="0"/>
        <v>0.94149904860036782</v>
      </c>
      <c r="H39" s="4">
        <f t="shared" si="1"/>
        <v>5.6173632719892619E-2</v>
      </c>
      <c r="I39" s="3">
        <v>2.8709469093786511E-2</v>
      </c>
    </row>
    <row r="40" spans="2:9" x14ac:dyDescent="0.55000000000000004">
      <c r="E40" s="1">
        <v>2.25</v>
      </c>
      <c r="F40">
        <v>1</v>
      </c>
      <c r="G40" s="4">
        <f t="shared" si="0"/>
        <v>0.93451248203652904</v>
      </c>
      <c r="H40" s="4">
        <f t="shared" si="1"/>
        <v>6.256405488758443E-2</v>
      </c>
      <c r="I40" s="3">
        <v>2.9139750144590151E-2</v>
      </c>
    </row>
    <row r="41" spans="2:9" x14ac:dyDescent="0.55000000000000004">
      <c r="E41" s="1">
        <v>2.5</v>
      </c>
      <c r="F41">
        <v>1</v>
      </c>
      <c r="G41" s="4">
        <f t="shared" si="0"/>
        <v>0.92759566166118101</v>
      </c>
      <c r="H41" s="4">
        <f t="shared" si="1"/>
        <v>6.8822101149095816E-2</v>
      </c>
      <c r="I41" s="3">
        <v>2.956299250443431E-2</v>
      </c>
    </row>
    <row r="42" spans="2:9" x14ac:dyDescent="0.55000000000000004">
      <c r="E42" s="1">
        <v>2.75</v>
      </c>
      <c r="F42">
        <v>1</v>
      </c>
      <c r="G42" s="4">
        <f t="shared" si="0"/>
        <v>0.9207478013519409</v>
      </c>
      <c r="H42" s="4">
        <f t="shared" si="1"/>
        <v>7.4950039383357203E-2</v>
      </c>
      <c r="I42" s="3">
        <v>2.9979306541535765E-2</v>
      </c>
    </row>
    <row r="43" spans="2:9" x14ac:dyDescent="0.55000000000000004">
      <c r="E43" s="1">
        <v>3</v>
      </c>
      <c r="F43">
        <v>1</v>
      </c>
      <c r="G43" s="4">
        <f t="shared" si="0"/>
        <v>0.913968124454697</v>
      </c>
      <c r="H43" s="4">
        <f t="shared" si="1"/>
        <v>8.0950100792570145E-2</v>
      </c>
      <c r="I43" s="3">
        <v>3.0388800920335381E-2</v>
      </c>
    </row>
    <row r="44" spans="2:9" x14ac:dyDescent="0.55000000000000004">
      <c r="E44" s="1">
        <v>3.25</v>
      </c>
      <c r="F44">
        <v>1</v>
      </c>
      <c r="G44" s="4">
        <f t="shared" si="0"/>
        <v>0.90725586366470024</v>
      </c>
      <c r="H44" s="4">
        <f t="shared" si="1"/>
        <v>8.6824480480536037E-2</v>
      </c>
      <c r="I44" s="3">
        <v>3.0791582627603935E-2</v>
      </c>
    </row>
    <row r="45" spans="2:9" x14ac:dyDescent="0.55000000000000004">
      <c r="E45" s="1">
        <v>3.5</v>
      </c>
      <c r="F45">
        <v>1</v>
      </c>
      <c r="G45" s="4">
        <f t="shared" si="0"/>
        <v>0.90061026090918173</v>
      </c>
      <c r="H45" s="4">
        <f t="shared" si="1"/>
        <v>9.2575338021973819E-2</v>
      </c>
      <c r="I45" s="3">
        <v>3.1187756998149411E-2</v>
      </c>
    </row>
    <row r="46" spans="2:9" x14ac:dyDescent="0.55000000000000004">
      <c r="E46" s="1">
        <v>3.75</v>
      </c>
      <c r="F46">
        <v>1</v>
      </c>
      <c r="G46" s="4">
        <f t="shared" si="0"/>
        <v>0.89403056723150121</v>
      </c>
      <c r="H46" s="4">
        <f t="shared" si="1"/>
        <v>9.820479802299531E-2</v>
      </c>
      <c r="I46" s="3">
        <v>3.157742774013228E-2</v>
      </c>
    </row>
    <row r="47" spans="2:9" x14ac:dyDescent="0.55000000000000004">
      <c r="E47" s="1">
        <v>4</v>
      </c>
      <c r="F47">
        <v>1</v>
      </c>
      <c r="G47" s="4">
        <f t="shared" si="0"/>
        <v>0.88751604267677975</v>
      </c>
      <c r="H47" s="4">
        <f t="shared" si="1"/>
        <v>0.10371495067284331</v>
      </c>
      <c r="I47" s="3">
        <v>3.1960696959994241E-2</v>
      </c>
    </row>
    <row r="48" spans="2:9" x14ac:dyDescent="0.55000000000000004">
      <c r="E48" s="1">
        <v>4.25</v>
      </c>
      <c r="F48">
        <v>1</v>
      </c>
      <c r="G48" s="4">
        <f t="shared" si="0"/>
        <v>0.88106595617901806</v>
      </c>
      <c r="H48" s="4">
        <f t="shared" si="1"/>
        <v>0.10910785228705244</v>
      </c>
      <c r="I48" s="3">
        <v>3.2337665187006648E-2</v>
      </c>
    </row>
    <row r="49" spans="5:9" x14ac:dyDescent="0.55000000000000004">
      <c r="E49" s="1">
        <v>4.5</v>
      </c>
      <c r="F49">
        <v>1</v>
      </c>
      <c r="G49" s="4">
        <f t="shared" si="0"/>
        <v>0.87467958544966873</v>
      </c>
      <c r="H49" s="4">
        <f t="shared" si="1"/>
        <v>0.11438552584215045</v>
      </c>
      <c r="I49" s="3">
        <v>3.2708431397444303E-2</v>
      </c>
    </row>
    <row r="50" spans="5:9" x14ac:dyDescent="0.55000000000000004">
      <c r="E50" s="1">
        <v>4.75</v>
      </c>
      <c r="F50">
        <v>1</v>
      </c>
      <c r="G50" s="4">
        <f t="shared" si="0"/>
        <v>0.86835621686764619</v>
      </c>
      <c r="H50" s="4">
        <f t="shared" si="1"/>
        <v>0.11954996150203456</v>
      </c>
      <c r="I50" s="3">
        <v>3.3073093038390233E-2</v>
      </c>
    </row>
    <row r="51" spans="5:9" x14ac:dyDescent="0.55000000000000004">
      <c r="E51" s="1">
        <v>5</v>
      </c>
      <c r="F51">
        <v>1</v>
      </c>
      <c r="G51" s="4">
        <f t="shared" si="0"/>
        <v>0.8620951453707586</v>
      </c>
      <c r="H51" s="4">
        <f t="shared" si="1"/>
        <v>0.12460311713615457</v>
      </c>
      <c r="I51" s="3">
        <v>3.343174605117722E-2</v>
      </c>
    </row>
    <row r="52" spans="5:9" x14ac:dyDescent="0.55000000000000004">
      <c r="E52" s="1">
        <v>5.25</v>
      </c>
      <c r="F52">
        <v>1</v>
      </c>
      <c r="G52" s="4">
        <f t="shared" si="0"/>
        <v>0.85589567434853764</v>
      </c>
      <c r="H52" s="4">
        <f t="shared" si="1"/>
        <v>0.12954691882962388</v>
      </c>
      <c r="I52" s="3">
        <v>3.3784484894471514E-2</v>
      </c>
    </row>
    <row r="53" spans="5:9" x14ac:dyDescent="0.55000000000000004">
      <c r="E53" s="1">
        <v>5.5</v>
      </c>
      <c r="F53">
        <v>1</v>
      </c>
      <c r="G53" s="4">
        <f t="shared" si="0"/>
        <v>0.84975711553645306</v>
      </c>
      <c r="H53" s="4">
        <f t="shared" si="1"/>
        <v>0.13438326138538803</v>
      </c>
      <c r="I53" s="3">
        <v>3.4131402567004199E-2</v>
      </c>
    </row>
    <row r="54" spans="5:9" x14ac:dyDescent="0.55000000000000004">
      <c r="E54" s="1">
        <v>5.75</v>
      </c>
      <c r="F54">
        <v>1</v>
      </c>
      <c r="G54" s="4">
        <f t="shared" si="0"/>
        <v>0.84367878891148829</v>
      </c>
      <c r="H54" s="4">
        <f t="shared" si="1"/>
        <v>0.13911400881856872</v>
      </c>
      <c r="I54" s="3">
        <v>3.4472590629955543E-2</v>
      </c>
    </row>
    <row r="55" spans="5:9" x14ac:dyDescent="0.55000000000000004">
      <c r="E55" s="1">
        <v>6</v>
      </c>
      <c r="F55">
        <v>1</v>
      </c>
      <c r="G55" s="4">
        <f t="shared" si="0"/>
        <v>0.8376600225890648</v>
      </c>
      <c r="H55" s="4">
        <f t="shared" si="1"/>
        <v>0.14374099484310909</v>
      </c>
      <c r="I55" s="3">
        <v>3.4808139228997746E-2</v>
      </c>
    </row>
    <row r="56" spans="5:9" x14ac:dyDescent="0.55000000000000004">
      <c r="E56" s="1">
        <v>6.25</v>
      </c>
      <c r="F56">
        <v>1</v>
      </c>
      <c r="G56" s="4">
        <f t="shared" si="0"/>
        <v>0.83170015272129383</v>
      </c>
      <c r="H56" s="4">
        <f t="shared" si="1"/>
        <v>0.14826602335083627</v>
      </c>
      <c r="I56" s="3">
        <v>3.5138137116001104E-2</v>
      </c>
    </row>
    <row r="57" spans="5:9" x14ac:dyDescent="0.55000000000000004">
      <c r="E57" s="1">
        <v>6.5</v>
      </c>
      <c r="F57">
        <v>1</v>
      </c>
      <c r="G57" s="4">
        <f t="shared" si="0"/>
        <v>0.82579852339653659</v>
      </c>
      <c r="H57" s="4">
        <f t="shared" si="1"/>
        <v>0.15269086888305561</v>
      </c>
      <c r="I57" s="3">
        <v>3.5462671670408813E-2</v>
      </c>
    </row>
    <row r="58" spans="5:9" x14ac:dyDescent="0.55000000000000004">
      <c r="E58" s="1">
        <v>6.75</v>
      </c>
      <c r="F58">
        <v>1</v>
      </c>
      <c r="G58" s="4">
        <f t="shared" si="0"/>
        <v>0.81995448654026293</v>
      </c>
      <c r="H58" s="4">
        <f t="shared" si="1"/>
        <v>0.15701727709480151</v>
      </c>
      <c r="I58" s="3">
        <v>3.5781828920285488E-2</v>
      </c>
    </row>
    <row r="59" spans="5:9" x14ac:dyDescent="0.55000000000000004">
      <c r="E59" s="1">
        <v>7</v>
      </c>
      <c r="F59">
        <v>1</v>
      </c>
      <c r="G59" s="4">
        <f t="shared" si="0"/>
        <v>0.8141674018171805</v>
      </c>
      <c r="H59" s="4">
        <f t="shared" si="1"/>
        <v>0.16124696521184456</v>
      </c>
      <c r="I59" s="3">
        <v>3.6095693563044269E-2</v>
      </c>
    </row>
    <row r="60" spans="5:9" x14ac:dyDescent="0.55000000000000004">
      <c r="E60" s="1">
        <v>7.25</v>
      </c>
      <c r="F60">
        <v>1</v>
      </c>
      <c r="G60" s="4">
        <f t="shared" si="0"/>
        <v>0.80843663653462894</v>
      </c>
      <c r="H60" s="4">
        <f t="shared" si="1"/>
        <v>0.16538162248058097</v>
      </c>
      <c r="I60" s="3">
        <v>3.6404348985857517E-2</v>
      </c>
    </row>
    <row r="61" spans="5:9" x14ac:dyDescent="0.55000000000000004">
      <c r="E61" s="1">
        <v>7.5</v>
      </c>
      <c r="F61">
        <v>1</v>
      </c>
      <c r="G61" s="4">
        <f t="shared" si="0"/>
        <v>0.80276156554721367</v>
      </c>
      <c r="H61" s="4">
        <f t="shared" si="1"/>
        <v>0.16942291061090353</v>
      </c>
      <c r="I61" s="3">
        <v>3.6707877285755801E-2</v>
      </c>
    </row>
    <row r="62" spans="5:9" x14ac:dyDescent="0.55000000000000004">
      <c r="E62" s="1">
        <v>7.75</v>
      </c>
      <c r="F62">
        <v>1</v>
      </c>
      <c r="G62" s="4">
        <f t="shared" si="0"/>
        <v>0.79714157116266837</v>
      </c>
      <c r="H62" s="4">
        <f t="shared" si="1"/>
        <v>0.17337246421216879</v>
      </c>
      <c r="I62" s="3">
        <v>3.7006359289420046E-2</v>
      </c>
    </row>
    <row r="63" spans="5:9" x14ac:dyDescent="0.55000000000000004">
      <c r="E63" s="1">
        <v>8</v>
      </c>
      <c r="F63">
        <v>1</v>
      </c>
      <c r="G63" s="4">
        <f t="shared" si="0"/>
        <v>0.79157604304892604</v>
      </c>
      <c r="H63" s="4">
        <f t="shared" si="1"/>
        <v>0.17723189122236283</v>
      </c>
      <c r="I63" s="3">
        <v>3.7299874572671365E-2</v>
      </c>
    </row>
    <row r="64" spans="5:9" x14ac:dyDescent="0.55000000000000004">
      <c r="E64" s="1">
        <v>8.25</v>
      </c>
      <c r="F64">
        <v>1</v>
      </c>
      <c r="G64" s="4">
        <f t="shared" ref="G64:G95" si="2">IF(lambda=0,1,(1-EXP(-lambda*$E64))/(lambda*$E64))</f>
        <v>0.7860643781423875</v>
      </c>
      <c r="H64" s="4">
        <f t="shared" ref="H64:H95" si="3">G64-EXP(-lambda*$E64)</f>
        <v>0.18100277333057657</v>
      </c>
      <c r="I64" s="3">
        <v>3.7588501479663375E-2</v>
      </c>
    </row>
    <row r="65" spans="5:9" x14ac:dyDescent="0.55000000000000004">
      <c r="E65" s="1">
        <v>8.5</v>
      </c>
      <c r="F65">
        <v>1</v>
      </c>
      <c r="G65" s="4">
        <f t="shared" si="2"/>
        <v>0.78060598055736741</v>
      </c>
      <c r="H65" s="4">
        <f t="shared" si="3"/>
        <v>0.18468666639288867</v>
      </c>
      <c r="I65" s="3">
        <v>3.7872317141781367E-2</v>
      </c>
    </row>
    <row r="66" spans="5:9" x14ac:dyDescent="0.55000000000000004">
      <c r="E66" s="1">
        <v>8.75</v>
      </c>
      <c r="F66">
        <v>1</v>
      </c>
      <c r="G66" s="4">
        <f t="shared" si="2"/>
        <v>0.77520026149670207</v>
      </c>
      <c r="H66" s="4">
        <f t="shared" si="3"/>
        <v>0.1882851008417572</v>
      </c>
      <c r="I66" s="3">
        <v>3.8151397496252737E-2</v>
      </c>
    </row>
    <row r="67" spans="5:9" x14ac:dyDescent="0.55000000000000004">
      <c r="E67" s="1">
        <v>9</v>
      </c>
      <c r="F67">
        <v>1</v>
      </c>
      <c r="G67" s="4">
        <f t="shared" si="2"/>
        <v>0.76984663916350926</v>
      </c>
      <c r="H67" s="4">
        <f t="shared" si="3"/>
        <v>0.1917995820890287</v>
      </c>
      <c r="I67" s="3">
        <v>3.842581730447342E-2</v>
      </c>
    </row>
    <row r="68" spans="5:9" x14ac:dyDescent="0.55000000000000004">
      <c r="E68" s="1">
        <v>9.25</v>
      </c>
      <c r="F68">
        <v>1</v>
      </c>
      <c r="G68" s="4">
        <f t="shared" si="2"/>
        <v>0.76454453867407823</v>
      </c>
      <c r="H68" s="4">
        <f t="shared" si="3"/>
        <v>0.19523159092265341</v>
      </c>
      <c r="I68" s="3">
        <v>3.8695650170054184E-2</v>
      </c>
    </row>
    <row r="69" spans="5:9" x14ac:dyDescent="0.55000000000000004">
      <c r="E69" s="1">
        <v>9.5</v>
      </c>
      <c r="F69">
        <v>1</v>
      </c>
      <c r="G69" s="4">
        <f t="shared" si="2"/>
        <v>0.75929339197187873</v>
      </c>
      <c r="H69" s="4">
        <f t="shared" si="3"/>
        <v>0.19858258389720918</v>
      </c>
      <c r="I69" s="3">
        <v>3.8960968556591404E-2</v>
      </c>
    </row>
    <row r="70" spans="5:9" x14ac:dyDescent="0.55000000000000004">
      <c r="E70" s="1">
        <v>9.75</v>
      </c>
      <c r="F70">
        <v>1</v>
      </c>
      <c r="G70" s="4">
        <f t="shared" si="2"/>
        <v>0.75409263774267388</v>
      </c>
      <c r="H70" s="4">
        <f t="shared" si="3"/>
        <v>0.20185399371833013</v>
      </c>
      <c r="I70" s="3">
        <v>3.9221843805166356E-2</v>
      </c>
    </row>
    <row r="71" spans="5:9" x14ac:dyDescent="0.55000000000000004">
      <c r="E71" s="1">
        <v>10</v>
      </c>
      <c r="F71">
        <v>1</v>
      </c>
      <c r="G71" s="4">
        <f t="shared" si="2"/>
        <v>0.74894172133072268</v>
      </c>
      <c r="H71" s="4">
        <f t="shared" si="3"/>
        <v>0.20504722962113275</v>
      </c>
      <c r="I71" s="3">
        <v>3.9478346151577248E-2</v>
      </c>
    </row>
    <row r="72" spans="5:9" x14ac:dyDescent="0.55000000000000004">
      <c r="E72" s="1">
        <v>10.25</v>
      </c>
      <c r="F72">
        <v>1</v>
      </c>
      <c r="G72" s="4">
        <f t="shared" si="2"/>
        <v>0.74384009465605472</v>
      </c>
      <c r="H72" s="4">
        <f t="shared" si="3"/>
        <v>0.20816367774273048</v>
      </c>
      <c r="I72" s="3">
        <v>3.9730544743307852E-2</v>
      </c>
    </row>
    <row r="73" spans="5:9" x14ac:dyDescent="0.55000000000000004">
      <c r="E73" s="1">
        <v>10.5</v>
      </c>
      <c r="F73">
        <v>1</v>
      </c>
      <c r="G73" s="4">
        <f t="shared" si="2"/>
        <v>0.73878721613280973</v>
      </c>
      <c r="H73" s="4">
        <f t="shared" si="3"/>
        <v>0.211204701488935</v>
      </c>
      <c r="I73" s="3">
        <v>3.9978507656237158E-2</v>
      </c>
    </row>
    <row r="74" spans="5:9" x14ac:dyDescent="0.55000000000000004">
      <c r="E74" s="1">
        <v>10.75</v>
      </c>
      <c r="F74">
        <v>1</v>
      </c>
      <c r="G74" s="4">
        <f t="shared" si="2"/>
        <v>0.7337825505886203</v>
      </c>
      <c r="H74" s="4">
        <f t="shared" si="3"/>
        <v>0.21417164189522531</v>
      </c>
      <c r="I74" s="3">
        <v>4.0222301911093508E-2</v>
      </c>
    </row>
    <row r="75" spans="5:9" x14ac:dyDescent="0.55000000000000004">
      <c r="E75" s="1">
        <v>11</v>
      </c>
      <c r="F75">
        <v>1</v>
      </c>
      <c r="G75" s="4">
        <f t="shared" si="2"/>
        <v>0.72882556918502872</v>
      </c>
      <c r="H75" s="4">
        <f t="shared" si="3"/>
        <v>0.21706581798207947</v>
      </c>
      <c r="I75" s="3">
        <v>4.0461993489657462E-2</v>
      </c>
    </row>
    <row r="76" spans="5:9" x14ac:dyDescent="0.55000000000000004">
      <c r="E76" s="1">
        <v>11.25</v>
      </c>
      <c r="F76">
        <v>1</v>
      </c>
      <c r="G76" s="4">
        <f t="shared" si="2"/>
        <v>0.72391574933892433</v>
      </c>
      <c r="H76" s="4">
        <f t="shared" si="3"/>
        <v>0.21988852710475482</v>
      </c>
      <c r="I76" s="3">
        <v>4.0697647350717091E-2</v>
      </c>
    </row>
    <row r="77" spans="5:9" x14ac:dyDescent="0.55000000000000004">
      <c r="E77" s="1">
        <v>11.5</v>
      </c>
      <c r="F77">
        <v>1</v>
      </c>
      <c r="G77" s="4">
        <f t="shared" si="2"/>
        <v>0.71905257464498595</v>
      </c>
      <c r="H77" s="4">
        <f t="shared" si="3"/>
        <v>0.22264104529760181</v>
      </c>
      <c r="I77" s="3">
        <v>4.0929327445779422E-2</v>
      </c>
    </row>
    <row r="78" spans="5:9" x14ac:dyDescent="0.55000000000000004">
      <c r="E78" s="1">
        <v>11.75</v>
      </c>
      <c r="F78">
        <v>1</v>
      </c>
      <c r="G78" s="4">
        <f t="shared" si="2"/>
        <v>0.71423553479911706</v>
      </c>
      <c r="H78" s="4">
        <f t="shared" si="3"/>
        <v>0.22532462761299527</v>
      </c>
      <c r="I78" s="3">
        <v>4.115709673454189E-2</v>
      </c>
    </row>
    <row r="79" spans="5:9" x14ac:dyDescent="0.55000000000000004">
      <c r="E79" s="1">
        <v>12</v>
      </c>
      <c r="F79">
        <v>1</v>
      </c>
      <c r="G79" s="4">
        <f t="shared" si="2"/>
        <v>0.70946412552286198</v>
      </c>
      <c r="H79" s="4">
        <f t="shared" si="3"/>
        <v>0.22794050845496955</v>
      </c>
      <c r="I79" s="3">
        <v>4.1381017200127233E-2</v>
      </c>
    </row>
    <row r="80" spans="5:9" x14ac:dyDescent="0.55000000000000004">
      <c r="E80" s="1">
        <v>12.25</v>
      </c>
      <c r="F80">
        <v>1</v>
      </c>
      <c r="G80" s="4">
        <f t="shared" si="2"/>
        <v>0.70473784848878851</v>
      </c>
      <c r="H80" s="4">
        <f t="shared" si="3"/>
        <v>0.23048990190763691</v>
      </c>
      <c r="I80" s="3">
        <v>4.1601149864085765E-2</v>
      </c>
    </row>
    <row r="81" spans="5:9" x14ac:dyDescent="0.55000000000000004">
      <c r="E81" s="1">
        <v>12.5</v>
      </c>
      <c r="F81">
        <v>1</v>
      </c>
      <c r="G81" s="4">
        <f t="shared" si="2"/>
        <v>0.70005621124682393</v>
      </c>
      <c r="H81" s="4">
        <f t="shared" si="3"/>
        <v>0.23297400205846858</v>
      </c>
      <c r="I81" s="3">
        <v>4.1817554801168146E-2</v>
      </c>
    </row>
    <row r="82" spans="5:9" x14ac:dyDescent="0.55000000000000004">
      <c r="E82" s="1">
        <v>12.75</v>
      </c>
      <c r="F82">
        <v>1</v>
      </c>
      <c r="G82" s="4">
        <f t="shared" si="2"/>
        <v>0.6954187271515353</v>
      </c>
      <c r="H82" s="4">
        <f t="shared" si="3"/>
        <v>0.23539398331652372</v>
      </c>
      <c r="I82" s="3">
        <v>4.2030291153872565E-2</v>
      </c>
    </row>
    <row r="83" spans="5:9" x14ac:dyDescent="0.55000000000000004">
      <c r="E83" s="1">
        <v>13</v>
      </c>
      <c r="F83">
        <v>1</v>
      </c>
      <c r="G83" s="4">
        <f t="shared" si="2"/>
        <v>0.69082491529033763</v>
      </c>
      <c r="H83" s="4">
        <f t="shared" si="3"/>
        <v>0.23775100072569799</v>
      </c>
      <c r="I83" s="3">
        <v>4.2239417146769473E-2</v>
      </c>
    </row>
    <row r="84" spans="5:9" x14ac:dyDescent="0.55000000000000004">
      <c r="E84" s="1">
        <v>13.25</v>
      </c>
      <c r="F84">
        <v>1</v>
      </c>
      <c r="G84" s="4">
        <f t="shared" si="2"/>
        <v>0.68627430041261961</v>
      </c>
      <c r="H84" s="4">
        <f t="shared" si="3"/>
        <v>0.24004619027307278</v>
      </c>
      <c r="I84" s="3">
        <v>4.244499010060742E-2</v>
      </c>
    </row>
    <row r="85" spans="5:9" x14ac:dyDescent="0.55000000000000004">
      <c r="E85" s="1">
        <v>13.5</v>
      </c>
      <c r="F85">
        <v>1</v>
      </c>
      <c r="G85" s="4">
        <f t="shared" si="2"/>
        <v>0.68176641285977546</v>
      </c>
      <c r="H85" s="4">
        <f t="shared" si="3"/>
        <v>0.24228066919243985</v>
      </c>
      <c r="I85" s="3">
        <v>4.2647066446203211E-2</v>
      </c>
    </row>
    <row r="86" spans="5:9" x14ac:dyDescent="0.55000000000000004">
      <c r="E86" s="1">
        <v>13.75</v>
      </c>
      <c r="F86">
        <v>1</v>
      </c>
      <c r="G86" s="4">
        <f t="shared" si="2"/>
        <v>0.67730078849612929</v>
      </c>
      <c r="H86" s="4">
        <f t="shared" si="3"/>
        <v>0.24445553626307559</v>
      </c>
      <c r="I86" s="3">
        <v>4.2845701738119794E-2</v>
      </c>
    </row>
    <row r="87" spans="5:9" x14ac:dyDescent="0.55000000000000004">
      <c r="E87" s="1">
        <v>14</v>
      </c>
      <c r="F87">
        <v>1</v>
      </c>
      <c r="G87" s="4">
        <f t="shared" si="2"/>
        <v>0.67287696864074287</v>
      </c>
      <c r="H87" s="4">
        <f t="shared" si="3"/>
        <v>0.24657187210384029</v>
      </c>
      <c r="I87" s="3">
        <v>4.3040950668135042E-2</v>
      </c>
    </row>
    <row r="88" spans="5:9" x14ac:dyDescent="0.55000000000000004">
      <c r="E88" s="1">
        <v>14.25</v>
      </c>
      <c r="F88">
        <v>1</v>
      </c>
      <c r="G88" s="4">
        <f t="shared" si="2"/>
        <v>0.66849450000009292</v>
      </c>
      <c r="H88" s="4">
        <f t="shared" si="3"/>
        <v>0.2486307394626735</v>
      </c>
      <c r="I88" s="3">
        <v>4.3232867078504614E-2</v>
      </c>
    </row>
    <row r="89" spans="5:9" x14ac:dyDescent="0.55000000000000004">
      <c r="E89" s="1">
        <v>14.5</v>
      </c>
      <c r="F89">
        <v>1</v>
      </c>
      <c r="G89" s="4">
        <f t="shared" si="2"/>
        <v>0.66415293460160596</v>
      </c>
      <c r="H89" s="4">
        <f t="shared" si="3"/>
        <v>0.25063318350155411</v>
      </c>
      <c r="I89" s="3">
        <v>4.3421503975022015E-2</v>
      </c>
    </row>
    <row r="90" spans="5:9" x14ac:dyDescent="0.55000000000000004">
      <c r="E90" s="1">
        <v>14.75</v>
      </c>
      <c r="F90">
        <v>1</v>
      </c>
      <c r="G90" s="4">
        <f t="shared" si="2"/>
        <v>0.65985182972804457</v>
      </c>
      <c r="H90" s="4">
        <f t="shared" si="3"/>
        <v>0.25258023207700386</v>
      </c>
      <c r="I90" s="3">
        <v>4.3606913539879041E-2</v>
      </c>
    </row>
    <row r="91" spans="5:9" x14ac:dyDescent="0.55000000000000004">
      <c r="E91" s="1">
        <v>15</v>
      </c>
      <c r="F91">
        <v>1</v>
      </c>
      <c r="G91" s="4">
        <f t="shared" si="2"/>
        <v>0.65559074785272631</v>
      </c>
      <c r="H91" s="4">
        <f t="shared" si="3"/>
        <v>0.25447289601619183</v>
      </c>
      <c r="I91" s="3">
        <v>4.3789147144329521E-2</v>
      </c>
    </row>
    <row r="92" spans="5:9" x14ac:dyDescent="0.55000000000000004">
      <c r="E92" s="1">
        <v>15.25</v>
      </c>
      <c r="F92">
        <v>1</v>
      </c>
      <c r="G92" s="4">
        <f t="shared" si="2"/>
        <v>0.65136925657557099</v>
      </c>
      <c r="H92" s="4">
        <f t="shared" si="3"/>
        <v>0.2563121693887182</v>
      </c>
      <c r="I92" s="3">
        <v>4.3968255361159454E-2</v>
      </c>
    </row>
    <row r="93" spans="5:9" x14ac:dyDescent="0.55000000000000004">
      <c r="E93" s="1">
        <v>15.5</v>
      </c>
      <c r="F93">
        <v>1</v>
      </c>
      <c r="G93" s="4">
        <f t="shared" si="2"/>
        <v>0.64718692855996196</v>
      </c>
      <c r="H93" s="4">
        <f t="shared" si="3"/>
        <v>0.25809902977413812</v>
      </c>
      <c r="I93" s="3">
        <v>4.4144287976966484E-2</v>
      </c>
    </row>
    <row r="94" spans="5:9" x14ac:dyDescent="0.55000000000000004">
      <c r="E94" s="1">
        <v>15.75</v>
      </c>
      <c r="F94">
        <v>1</v>
      </c>
      <c r="G94" s="4">
        <f t="shared" si="2"/>
        <v>0.64304334147041198</v>
      </c>
      <c r="H94" s="4">
        <f t="shared" si="3"/>
        <v>0.25983443852529442</v>
      </c>
      <c r="I94" s="3">
        <v>4.4317294004251481E-2</v>
      </c>
    </row>
    <row r="95" spans="5:9" x14ac:dyDescent="0.55000000000000004">
      <c r="E95" s="1">
        <v>16</v>
      </c>
      <c r="F95">
        <v>1</v>
      </c>
      <c r="G95" s="4">
        <f t="shared" si="2"/>
        <v>0.63893807791102275</v>
      </c>
      <c r="H95" s="4">
        <f t="shared" si="3"/>
        <v>0.26151934102752333</v>
      </c>
      <c r="I95" s="3">
        <v>4.4487321693325373E-2</v>
      </c>
    </row>
    <row r="96" spans="5:9" x14ac:dyDescent="0.55000000000000004">
      <c r="E96" s="1">
        <v>16.25</v>
      </c>
      <c r="F96">
        <v>1</v>
      </c>
      <c r="G96" s="4">
        <f t="shared" ref="G96:G127" si="4">IF(lambda=0,1,(1-EXP(-lambda*$E96))/(lambda*$E96))</f>
        <v>0.63487072536472788</v>
      </c>
      <c r="H96" s="4">
        <f t="shared" ref="H96:H127" si="5">G96-EXP(-lambda*$E96)</f>
        <v>0.26315466695379675</v>
      </c>
      <c r="I96" s="3">
        <v>4.4654418544033674E-2</v>
      </c>
    </row>
    <row r="97" spans="5:9" x14ac:dyDescent="0.55000000000000004">
      <c r="E97" s="1">
        <v>16.5</v>
      </c>
      <c r="F97">
        <v>1</v>
      </c>
      <c r="G97" s="4">
        <f t="shared" si="4"/>
        <v>0.63084087613330941</v>
      </c>
      <c r="H97" s="4">
        <f t="shared" si="5"/>
        <v>0.2647413305158654</v>
      </c>
      <c r="I97" s="3">
        <v>4.4818631317301877E-2</v>
      </c>
    </row>
    <row r="98" spans="5:9" x14ac:dyDescent="0.55000000000000004">
      <c r="E98" s="1">
        <v>16.75</v>
      </c>
      <c r="F98">
        <v>1</v>
      </c>
      <c r="G98" s="4">
        <f t="shared" si="4"/>
        <v>0.6268481272781774</v>
      </c>
      <c r="H98" s="4">
        <f t="shared" si="5"/>
        <v>0.26628023071146417</v>
      </c>
      <c r="I98" s="3">
        <v>4.4980006046504137E-2</v>
      </c>
    </row>
    <row r="99" spans="5:9" x14ac:dyDescent="0.55000000000000004">
      <c r="E99" s="1">
        <v>17</v>
      </c>
      <c r="F99">
        <v>1</v>
      </c>
      <c r="G99" s="4">
        <f t="shared" si="4"/>
        <v>0.62289208056190204</v>
      </c>
      <c r="H99" s="4">
        <f t="shared" si="5"/>
        <v>0.26777225156763934</v>
      </c>
      <c r="I99" s="3">
        <v>4.5138588048658029E-2</v>
      </c>
    </row>
    <row r="100" spans="5:9" x14ac:dyDescent="0.55000000000000004">
      <c r="E100" s="1">
        <v>17.25</v>
      </c>
      <c r="F100">
        <v>1</v>
      </c>
      <c r="G100" s="4">
        <f t="shared" si="4"/>
        <v>0.61897234239049082</v>
      </c>
      <c r="H100" s="4">
        <f t="shared" si="5"/>
        <v>0.26921826238026125</v>
      </c>
      <c r="I100" s="3">
        <v>4.5294421935448179E-2</v>
      </c>
    </row>
    <row r="101" spans="5:9" x14ac:dyDescent="0.55000000000000004">
      <c r="E101" s="1">
        <v>17.5</v>
      </c>
      <c r="F101">
        <v>1</v>
      </c>
      <c r="G101" s="4">
        <f t="shared" si="4"/>
        <v>0.61508852375639711</v>
      </c>
      <c r="H101" s="4">
        <f t="shared" si="5"/>
        <v>0.27061911794977733</v>
      </c>
      <c r="I101" s="3">
        <v>4.5447551624081164E-2</v>
      </c>
    </row>
    <row r="102" spans="5:9" x14ac:dyDescent="0.55000000000000004">
      <c r="E102" s="1">
        <v>17.75</v>
      </c>
      <c r="F102">
        <v>1</v>
      </c>
      <c r="G102" s="4">
        <f t="shared" si="4"/>
        <v>0.61124024018225509</v>
      </c>
      <c r="H102" s="4">
        <f t="shared" si="5"/>
        <v>0.27197565881326824</v>
      </c>
      <c r="I102" s="3">
        <v>4.5598020347974361E-2</v>
      </c>
    </row>
    <row r="103" spans="5:9" x14ac:dyDescent="0.55000000000000004">
      <c r="E103" s="1">
        <v>18</v>
      </c>
      <c r="F103">
        <v>1</v>
      </c>
      <c r="G103" s="4">
        <f t="shared" si="4"/>
        <v>0.6074271116653277</v>
      </c>
      <c r="H103" s="4">
        <f t="shared" si="5"/>
        <v>0.27328871147285994</v>
      </c>
      <c r="I103" s="3">
        <v>4.574587066728121E-2</v>
      </c>
    </row>
    <row r="104" spans="5:9" x14ac:dyDescent="0.55000000000000004">
      <c r="E104" s="1">
        <v>18.25</v>
      </c>
      <c r="F104">
        <v>1</v>
      </c>
      <c r="G104" s="4">
        <f t="shared" si="4"/>
        <v>0.60364876262266121</v>
      </c>
      <c r="H104" s="4">
        <f t="shared" si="5"/>
        <v>0.27455908862055256</v>
      </c>
      <c r="I104" s="3">
        <v>4.5891144479255574E-2</v>
      </c>
    </row>
    <row r="105" spans="5:9" x14ac:dyDescent="0.55000000000000004">
      <c r="E105" s="1">
        <v>18.5</v>
      </c>
      <c r="F105">
        <v>1</v>
      </c>
      <c r="G105" s="4">
        <f t="shared" si="4"/>
        <v>0.59990482183693539</v>
      </c>
      <c r="H105" s="4">
        <f t="shared" si="5"/>
        <v>0.2757875893595188</v>
      </c>
      <c r="I105" s="3">
        <v>4.6033883028457373E-2</v>
      </c>
    </row>
    <row r="106" spans="5:9" x14ac:dyDescent="0.55000000000000004">
      <c r="E106" s="1">
        <v>18.75</v>
      </c>
      <c r="F106">
        <v>1</v>
      </c>
      <c r="G106" s="4">
        <f t="shared" si="4"/>
        <v>0.59619492240300065</v>
      </c>
      <c r="H106" s="4">
        <f t="shared" si="5"/>
        <v>0.27697499942192705</v>
      </c>
      <c r="I106" s="3">
        <v>4.6174126916802075E-2</v>
      </c>
    </row>
    <row r="107" spans="5:9" x14ac:dyDescent="0.55000000000000004">
      <c r="E107" s="1">
        <v>19</v>
      </c>
      <c r="F107">
        <v>1</v>
      </c>
      <c r="G107" s="4">
        <f t="shared" si="4"/>
        <v>0.5925187016750938</v>
      </c>
      <c r="H107" s="4">
        <f t="shared" si="5"/>
        <v>0.27812209138334487</v>
      </c>
      <c r="I107" s="3">
        <v>4.6311916113456454E-2</v>
      </c>
    </row>
    <row r="108" spans="5:9" x14ac:dyDescent="0.55000000000000004">
      <c r="E108" s="1">
        <v>19.25</v>
      </c>
      <c r="F108">
        <v>1</v>
      </c>
      <c r="G108" s="4">
        <f t="shared" si="4"/>
        <v>0.58887580121472327</v>
      </c>
      <c r="H108" s="4">
        <f t="shared" si="5"/>
        <v>0.27922962487377373</v>
      </c>
      <c r="I108" s="3">
        <v>4.6447289964582875E-2</v>
      </c>
    </row>
    <row r="109" spans="5:9" x14ac:dyDescent="0.55000000000000004">
      <c r="E109" s="1">
        <v>19.5</v>
      </c>
      <c r="F109">
        <v>1</v>
      </c>
      <c r="G109" s="4">
        <f t="shared" si="4"/>
        <v>0.58526586673921455</v>
      </c>
      <c r="H109" s="4">
        <f t="shared" si="5"/>
        <v>0.28029834678536875</v>
      </c>
      <c r="I109" s="3">
        <v>4.658028720293439E-2</v>
      </c>
    </row>
    <row r="110" spans="5:9" x14ac:dyDescent="0.55000000000000004">
      <c r="E110" s="1">
        <v>19.75</v>
      </c>
      <c r="F110">
        <v>1</v>
      </c>
      <c r="G110" s="4">
        <f t="shared" si="4"/>
        <v>0.58168854807090797</v>
      </c>
      <c r="H110" s="4">
        <f t="shared" si="5"/>
        <v>0.28132899147689439</v>
      </c>
      <c r="I110" s="3">
        <v>4.6710945957303074E-2</v>
      </c>
    </row>
    <row r="111" spans="5:9" x14ac:dyDescent="0.55000000000000004">
      <c r="E111" s="1">
        <v>20</v>
      </c>
      <c r="F111">
        <v>1</v>
      </c>
      <c r="G111" s="4">
        <f t="shared" si="4"/>
        <v>0.57814349908700069</v>
      </c>
      <c r="H111" s="4">
        <f t="shared" si="5"/>
        <v>0.28232228097496748</v>
      </c>
      <c r="I111" s="3">
        <v>4.6839303761823686E-2</v>
      </c>
    </row>
    <row r="112" spans="5:9" x14ac:dyDescent="0.55000000000000004">
      <c r="E112" s="1">
        <v>20.25</v>
      </c>
      <c r="F112">
        <v>1</v>
      </c>
      <c r="G112" s="4">
        <f t="shared" si="4"/>
        <v>0.57463037767002223</v>
      </c>
      <c r="H112" s="4">
        <f t="shared" si="5"/>
        <v>0.28327892517213538</v>
      </c>
      <c r="I112" s="3">
        <v>4.6965397565134862E-2</v>
      </c>
    </row>
    <row r="113" spans="5:9" x14ac:dyDescent="0.55000000000000004">
      <c r="E113" s="1">
        <v>20.5</v>
      </c>
      <c r="F113">
        <v>1</v>
      </c>
      <c r="G113" s="4">
        <f t="shared" si="4"/>
        <v>0.57114884565893909</v>
      </c>
      <c r="H113" s="4">
        <f t="shared" si="5"/>
        <v>0.28419962202184157</v>
      </c>
      <c r="I113" s="3">
        <v>4.7089263739400186E-2</v>
      </c>
    </row>
    <row r="114" spans="5:9" x14ac:dyDescent="0.55000000000000004">
      <c r="E114" s="1">
        <v>20.75</v>
      </c>
      <c r="F114">
        <v>1</v>
      </c>
      <c r="G114" s="4">
        <f t="shared" si="4"/>
        <v>0.56769856880087655</v>
      </c>
      <c r="H114" s="4">
        <f t="shared" si="5"/>
        <v>0.28508505773032433</v>
      </c>
      <c r="I114" s="3">
        <v>4.7210938089191065E-2</v>
      </c>
    </row>
    <row r="115" spans="5:9" x14ac:dyDescent="0.55000000000000004">
      <c r="E115" s="1">
        <v>21</v>
      </c>
      <c r="F115">
        <v>1</v>
      </c>
      <c r="G115" s="4">
        <f t="shared" si="4"/>
        <v>0.56427921670345271</v>
      </c>
      <c r="H115" s="4">
        <f t="shared" si="5"/>
        <v>0.28593590694549842</v>
      </c>
      <c r="I115" s="3">
        <v>4.7330455860233621E-2</v>
      </c>
    </row>
    <row r="116" spans="5:9" x14ac:dyDescent="0.55000000000000004">
      <c r="E116" s="1">
        <v>21.25</v>
      </c>
      <c r="F116">
        <v>1</v>
      </c>
      <c r="G116" s="4">
        <f t="shared" si="4"/>
        <v>0.5608904627877136</v>
      </c>
      <c r="H116" s="4">
        <f t="shared" si="5"/>
        <v>0.28675283294286341</v>
      </c>
      <c r="I116" s="3">
        <v>4.7447851748021699E-2</v>
      </c>
    </row>
    <row r="117" spans="5:9" x14ac:dyDescent="0.55000000000000004">
      <c r="E117" s="1">
        <v>21.5</v>
      </c>
      <c r="F117">
        <v>1</v>
      </c>
      <c r="G117" s="4">
        <f t="shared" si="4"/>
        <v>0.55753198424166517</v>
      </c>
      <c r="H117" s="4">
        <f t="shared" si="5"/>
        <v>0.28753648780848945</v>
      </c>
      <c r="I117" s="3">
        <v>4.7563159906297954E-2</v>
      </c>
    </row>
    <row r="118" spans="5:9" x14ac:dyDescent="0.55000000000000004">
      <c r="E118" s="1">
        <v>21.75</v>
      </c>
      <c r="F118">
        <v>1</v>
      </c>
      <c r="G118" s="4">
        <f t="shared" si="4"/>
        <v>0.55420346197439152</v>
      </c>
      <c r="H118" s="4">
        <f t="shared" si="5"/>
        <v>0.28828751261912128</v>
      </c>
      <c r="I118" s="3">
        <v>4.7676413955405061E-2</v>
      </c>
    </row>
    <row r="119" spans="5:9" x14ac:dyDescent="0.55000000000000004">
      <c r="E119" s="1">
        <v>22</v>
      </c>
      <c r="F119">
        <v>1</v>
      </c>
      <c r="G119" s="4">
        <f t="shared" si="4"/>
        <v>0.55090458057075342</v>
      </c>
      <c r="H119" s="4">
        <f t="shared" si="5"/>
        <v>0.28900653761944889</v>
      </c>
      <c r="I119" s="3">
        <v>4.7787646990509122E-2</v>
      </c>
    </row>
    <row r="120" spans="5:9" x14ac:dyDescent="0.55000000000000004">
      <c r="E120" s="1">
        <v>22.25</v>
      </c>
      <c r="F120">
        <v>1</v>
      </c>
      <c r="G120" s="4">
        <f t="shared" si="4"/>
        <v>0.54763502824665788</v>
      </c>
      <c r="H120" s="4">
        <f t="shared" si="5"/>
        <v>0.28969418239658568</v>
      </c>
      <c r="I120" s="3">
        <v>4.7896891589696983E-2</v>
      </c>
    </row>
    <row r="121" spans="5:9" x14ac:dyDescent="0.55000000000000004">
      <c r="E121" s="1">
        <v>22.5</v>
      </c>
      <c r="F121">
        <v>1</v>
      </c>
      <c r="G121" s="4">
        <f t="shared" si="4"/>
        <v>0.54439449680489482</v>
      </c>
      <c r="H121" s="4">
        <f t="shared" si="5"/>
        <v>0.29035105605180195</v>
      </c>
      <c r="I121" s="3">
        <v>4.8004179821949711E-2</v>
      </c>
    </row>
    <row r="122" spans="5:9" x14ac:dyDescent="0.55000000000000004">
      <c r="E122" s="1">
        <v>22.75</v>
      </c>
      <c r="F122">
        <v>1</v>
      </c>
      <c r="G122" s="4">
        <f t="shared" si="4"/>
        <v>0.54118268159152783</v>
      </c>
      <c r="H122" s="4">
        <f t="shared" si="5"/>
        <v>0.29097775736954989</v>
      </c>
      <c r="I122" s="3">
        <v>4.8109543254993808E-2</v>
      </c>
    </row>
    <row r="123" spans="5:9" x14ac:dyDescent="0.55000000000000004">
      <c r="E123" s="1">
        <v>23</v>
      </c>
      <c r="F123">
        <v>1</v>
      </c>
      <c r="G123" s="4">
        <f t="shared" si="4"/>
        <v>0.5379992814528386</v>
      </c>
      <c r="H123" s="4">
        <f t="shared" si="5"/>
        <v>0.29157487498382972</v>
      </c>
      <c r="I123" s="3">
        <v>4.8213012963032223E-2</v>
      </c>
    </row>
    <row r="124" spans="5:9" x14ac:dyDescent="0.55000000000000004">
      <c r="E124" s="1">
        <v>23.25</v>
      </c>
      <c r="F124">
        <v>1</v>
      </c>
      <c r="G124" s="4">
        <f t="shared" si="4"/>
        <v>0.53484399869281229</v>
      </c>
      <c r="H124" s="4">
        <f t="shared" si="5"/>
        <v>0.29214298754193258</v>
      </c>
      <c r="I124" s="3">
        <v>4.8314619534356999E-2</v>
      </c>
    </row>
    <row r="125" spans="5:9" x14ac:dyDescent="0.55000000000000004">
      <c r="E125" s="1">
        <v>23.5</v>
      </c>
      <c r="F125">
        <v>1</v>
      </c>
      <c r="G125" s="4">
        <f t="shared" si="4"/>
        <v>0.53171653903115901</v>
      </c>
      <c r="H125" s="4">
        <f t="shared" si="5"/>
        <v>0.29268266386560238</v>
      </c>
      <c r="I125" s="3">
        <v>4.8414393078845125E-2</v>
      </c>
    </row>
    <row r="126" spans="5:9" x14ac:dyDescent="0.55000000000000004">
      <c r="E126" s="1">
        <v>23.75</v>
      </c>
      <c r="F126">
        <v>1</v>
      </c>
      <c r="G126" s="4">
        <f t="shared" si="4"/>
        <v>0.52861661156186601</v>
      </c>
      <c r="H126" s="4">
        <f t="shared" si="5"/>
        <v>0.29319446310965996</v>
      </c>
      <c r="I126" s="3">
        <v>4.851236323533975E-2</v>
      </c>
    </row>
    <row r="127" spans="5:9" x14ac:dyDescent="0.55000000000000004">
      <c r="E127" s="1">
        <v>24</v>
      </c>
      <c r="F127">
        <v>1</v>
      </c>
      <c r="G127" s="4">
        <f t="shared" si="4"/>
        <v>0.52554392871226996</v>
      </c>
      <c r="H127" s="4">
        <f t="shared" si="5"/>
        <v>0.29367893491812369</v>
      </c>
      <c r="I127" s="3">
        <v>4.8608559178918202E-2</v>
      </c>
    </row>
    <row r="128" spans="5:9" x14ac:dyDescent="0.55000000000000004">
      <c r="E128" s="1">
        <v>24.25</v>
      </c>
      <c r="F128">
        <v>1</v>
      </c>
      <c r="G128" s="4">
        <f t="shared" ref="G128:G159" si="6">IF(lambda=0,1,(1-EXP(-lambda*$E128))/(lambda*$E128))</f>
        <v>0.52249820620264631</v>
      </c>
      <c r="H128" s="4">
        <f t="shared" ref="H128:H159" si="7">G128-EXP(-lambda*$E128)</f>
        <v>0.29413661957786957</v>
      </c>
      <c r="I128" s="3">
        <v>4.8703009628048632E-2</v>
      </c>
    </row>
    <row r="129" spans="5:9" x14ac:dyDescent="0.55000000000000004">
      <c r="E129" s="1">
        <v>24.5</v>
      </c>
      <c r="F129">
        <v>1</v>
      </c>
      <c r="G129" s="4">
        <f t="shared" si="6"/>
        <v>0.51947916300630748</v>
      </c>
      <c r="H129" s="4">
        <f t="shared" si="7"/>
        <v>0.29456804816986865</v>
      </c>
      <c r="I129" s="3">
        <v>4.8795742851637063E-2</v>
      </c>
    </row>
    <row r="130" spans="5:9" x14ac:dyDescent="0.55000000000000004">
      <c r="E130" s="1">
        <v>24.75</v>
      </c>
      <c r="F130">
        <v>1</v>
      </c>
      <c r="G130" s="4">
        <f t="shared" si="6"/>
        <v>0.5164865213102019</v>
      </c>
      <c r="H130" s="4">
        <f t="shared" si="7"/>
        <v>0.2949737427180365</v>
      </c>
      <c r="I130" s="3">
        <v>4.8886786675966416E-2</v>
      </c>
    </row>
    <row r="131" spans="5:9" x14ac:dyDescent="0.55000000000000004">
      <c r="E131" s="1">
        <v>25</v>
      </c>
      <c r="F131">
        <v>1</v>
      </c>
      <c r="G131" s="4">
        <f t="shared" si="6"/>
        <v>0.51352000647601015</v>
      </c>
      <c r="H131" s="4">
        <f t="shared" si="7"/>
        <v>0.29535421633573561</v>
      </c>
      <c r="I131" s="3">
        <v>4.8976168491529179E-2</v>
      </c>
    </row>
    <row r="132" spans="5:9" x14ac:dyDescent="0.55000000000000004">
      <c r="E132" s="1">
        <v>25.25</v>
      </c>
      <c r="F132">
        <v>1</v>
      </c>
      <c r="G132" s="4">
        <f t="shared" si="6"/>
        <v>0.51057934700173013</v>
      </c>
      <c r="H132" s="4">
        <f t="shared" si="7"/>
        <v>0.29570997336996563</v>
      </c>
      <c r="I132" s="3">
        <v>4.9063915259755377E-2</v>
      </c>
    </row>
    <row r="133" spans="5:9" x14ac:dyDescent="0.55000000000000004">
      <c r="E133" s="1">
        <v>25.5</v>
      </c>
      <c r="F133">
        <v>1</v>
      </c>
      <c r="G133" s="4">
        <f t="shared" si="6"/>
        <v>0.50766427448374507</v>
      </c>
      <c r="H133" s="4">
        <f t="shared" si="7"/>
        <v>0.29604150954327701</v>
      </c>
      <c r="I133" s="3">
        <v>4.9150053519637457E-2</v>
      </c>
    </row>
    <row r="134" spans="5:9" x14ac:dyDescent="0.55000000000000004">
      <c r="E134" s="1">
        <v>25.75</v>
      </c>
      <c r="F134">
        <v>1</v>
      </c>
      <c r="G134" s="4">
        <f t="shared" si="6"/>
        <v>0.50477452357936814</v>
      </c>
      <c r="H134" s="4">
        <f t="shared" si="7"/>
        <v>0.29634931209344384</v>
      </c>
      <c r="I134" s="3">
        <v>4.9234609394253552E-2</v>
      </c>
    </row>
    <row r="135" spans="5:9" x14ac:dyDescent="0.55000000000000004">
      <c r="E135" s="1">
        <v>26</v>
      </c>
      <c r="F135">
        <v>1</v>
      </c>
      <c r="G135" s="4">
        <f t="shared" si="6"/>
        <v>0.50190983196985828</v>
      </c>
      <c r="H135" s="4">
        <f t="shared" si="7"/>
        <v>0.29663385991093194</v>
      </c>
      <c r="I135" s="3">
        <v>4.9317608597190823E-2</v>
      </c>
    </row>
    <row r="136" spans="5:9" x14ac:dyDescent="0.55000000000000004">
      <c r="E136" s="1">
        <v>26.25</v>
      </c>
      <c r="F136">
        <v>1</v>
      </c>
      <c r="G136" s="4">
        <f t="shared" si="6"/>
        <v>0.49906994032389984</v>
      </c>
      <c r="H136" s="4">
        <f t="shared" si="7"/>
        <v>0.2968956236741942</v>
      </c>
      <c r="I136" s="3">
        <v>4.9399076438870274E-2</v>
      </c>
    </row>
    <row r="137" spans="5:9" x14ac:dyDescent="0.55000000000000004">
      <c r="E137" s="1">
        <v>26.5</v>
      </c>
      <c r="F137">
        <v>1</v>
      </c>
      <c r="G137" s="4">
        <f t="shared" si="6"/>
        <v>0.49625459226154134</v>
      </c>
      <c r="H137" s="4">
        <f t="shared" si="7"/>
        <v>0.29713506598282979</v>
      </c>
      <c r="I137" s="3">
        <v>4.9479037832774658E-2</v>
      </c>
    </row>
    <row r="138" spans="5:9" x14ac:dyDescent="0.55000000000000004">
      <c r="E138" s="1">
        <v>26.75</v>
      </c>
      <c r="F138">
        <v>1</v>
      </c>
      <c r="G138" s="4">
        <f t="shared" si="6"/>
        <v>0.49346353431858664</v>
      </c>
      <c r="H138" s="4">
        <f t="shared" si="7"/>
        <v>0.29735264148863816</v>
      </c>
      <c r="I138" s="3">
        <v>4.955751730158086E-2</v>
      </c>
    </row>
    <row r="139" spans="5:9" x14ac:dyDescent="0.55000000000000004">
      <c r="E139" s="1">
        <v>27</v>
      </c>
      <c r="F139">
        <v>1</v>
      </c>
      <c r="G139" s="4">
        <f t="shared" si="6"/>
        <v>0.49069651591143276</v>
      </c>
      <c r="H139" s="4">
        <f t="shared" si="7"/>
        <v>0.29754879702460174</v>
      </c>
      <c r="I139" s="3">
        <v>4.9634538983198251E-2</v>
      </c>
    </row>
    <row r="140" spans="5:9" x14ac:dyDescent="0.55000000000000004">
      <c r="E140" s="1">
        <v>27.25</v>
      </c>
      <c r="F140">
        <v>1</v>
      </c>
      <c r="G140" s="4">
        <f t="shared" si="6"/>
        <v>0.48795328930234905</v>
      </c>
      <c r="H140" s="4">
        <f t="shared" si="7"/>
        <v>0.29772397173182996</v>
      </c>
      <c r="I140" s="3">
        <v>4.9710126636714473E-2</v>
      </c>
    </row>
    <row r="141" spans="5:9" x14ac:dyDescent="0.55000000000000004">
      <c r="E141" s="1">
        <v>27.5</v>
      </c>
      <c r="F141">
        <v>1</v>
      </c>
      <c r="G141" s="4">
        <f t="shared" si="6"/>
        <v>0.48523360956519118</v>
      </c>
      <c r="H141" s="4">
        <f t="shared" si="7"/>
        <v>0.29787859718449528</v>
      </c>
      <c r="I141" s="3">
        <v>4.9784303648250032E-2</v>
      </c>
    </row>
    <row r="142" spans="5:9" x14ac:dyDescent="0.55000000000000004">
      <c r="E142" s="1">
        <v>27.75</v>
      </c>
      <c r="F142">
        <v>1</v>
      </c>
      <c r="G142" s="4">
        <f t="shared" si="6"/>
        <v>0.48253723455154546</v>
      </c>
      <c r="H142" s="4">
        <f t="shared" si="7"/>
        <v>0.29801309751279353</v>
      </c>
      <c r="I142" s="3">
        <v>4.9857093036723109E-2</v>
      </c>
    </row>
    <row r="143" spans="5:9" x14ac:dyDescent="0.55000000000000004">
      <c r="E143" s="1">
        <v>28</v>
      </c>
      <c r="F143">
        <v>1</v>
      </c>
      <c r="G143" s="4">
        <f t="shared" si="6"/>
        <v>0.47986392485729662</v>
      </c>
      <c r="H143" s="4">
        <f t="shared" si="7"/>
        <v>0.29812788952395886</v>
      </c>
      <c r="I143" s="3">
        <v>4.9928517459525937E-2</v>
      </c>
    </row>
    <row r="144" spans="5:9" x14ac:dyDescent="0.55000000000000004">
      <c r="E144" s="1">
        <v>28.25</v>
      </c>
      <c r="F144">
        <v>1</v>
      </c>
      <c r="G144" s="4">
        <f t="shared" si="6"/>
        <v>0.477213443789615</v>
      </c>
      <c r="H144" s="4">
        <f t="shared" si="7"/>
        <v>0.29822338282136346</v>
      </c>
      <c r="I144" s="3">
        <v>4.999859921811417E-2</v>
      </c>
    </row>
    <row r="145" spans="5:9" x14ac:dyDescent="0.55000000000000004">
      <c r="E145" s="1">
        <v>28.5</v>
      </c>
      <c r="F145">
        <v>1</v>
      </c>
      <c r="G145" s="4">
        <f t="shared" si="6"/>
        <v>0.47458555733435681</v>
      </c>
      <c r="H145" s="4">
        <f t="shared" si="7"/>
        <v>0.29829997992173329</v>
      </c>
      <c r="I145" s="3">
        <v>5.0067360263510413E-2</v>
      </c>
    </row>
    <row r="146" spans="5:9" x14ac:dyDescent="0.55000000000000004">
      <c r="E146" s="1">
        <v>28.75</v>
      </c>
      <c r="F146">
        <v>1</v>
      </c>
      <c r="G146" s="4">
        <f t="shared" si="6"/>
        <v>0.47198003412387207</v>
      </c>
      <c r="H146" s="4">
        <f t="shared" si="7"/>
        <v>0.29835807637050665</v>
      </c>
      <c r="I146" s="3">
        <v>5.0134822201723467E-2</v>
      </c>
    </row>
    <row r="147" spans="5:9" x14ac:dyDescent="0.55000000000000004">
      <c r="E147" s="1">
        <v>29</v>
      </c>
      <c r="F147">
        <v>1</v>
      </c>
      <c r="G147" s="4">
        <f t="shared" si="6"/>
        <v>0.46939664540521553</v>
      </c>
      <c r="H147" s="4">
        <f t="shared" si="7"/>
        <v>0.29839806085536669</v>
      </c>
      <c r="I147" s="3">
        <v>5.0201006299084278E-2</v>
      </c>
    </row>
    <row r="148" spans="5:9" x14ac:dyDescent="0.55000000000000004">
      <c r="E148" s="1">
        <v>29.25</v>
      </c>
      <c r="F148">
        <v>1</v>
      </c>
      <c r="G148" s="4">
        <f t="shared" si="6"/>
        <v>0.46683516500875538</v>
      </c>
      <c r="H148" s="4">
        <f t="shared" si="7"/>
        <v>0.29842031531797653</v>
      </c>
      <c r="I148" s="3">
        <v>5.0265933487500178E-2</v>
      </c>
    </row>
    <row r="149" spans="5:9" x14ac:dyDescent="0.55000000000000004">
      <c r="E149" s="1">
        <v>29.5</v>
      </c>
      <c r="F149">
        <v>1</v>
      </c>
      <c r="G149" s="4">
        <f t="shared" si="6"/>
        <v>0.46429536931717386</v>
      </c>
      <c r="H149" s="4">
        <f t="shared" si="7"/>
        <v>0.29842521506394265</v>
      </c>
      <c r="I149" s="3">
        <v>5.0329624369628359E-2</v>
      </c>
    </row>
    <row r="150" spans="5:9" x14ac:dyDescent="0.55000000000000004">
      <c r="E150" s="1">
        <v>29.75</v>
      </c>
      <c r="F150">
        <v>1</v>
      </c>
      <c r="G150" s="4">
        <f t="shared" si="6"/>
        <v>0.46177703723485591</v>
      </c>
      <c r="H150" s="4">
        <f t="shared" si="7"/>
        <v>0.2984131288710371</v>
      </c>
      <c r="I150" s="3">
        <v>5.0392099223970088E-2</v>
      </c>
    </row>
    <row r="151" spans="5:9" x14ac:dyDescent="0.55000000000000004">
      <c r="E151" s="1">
        <v>30</v>
      </c>
      <c r="F151">
        <v>1</v>
      </c>
      <c r="G151" s="4">
        <f t="shared" si="6"/>
        <v>0.45927995015765954</v>
      </c>
      <c r="H151" s="4">
        <f t="shared" si="7"/>
        <v>0.29838441909570357</v>
      </c>
      <c r="I151" s="3">
        <v>5.0453378009886661E-2</v>
      </c>
    </row>
    <row r="152" spans="5:9" x14ac:dyDescent="0.55000000000000004">
      <c r="E152" s="1">
        <v>30.25</v>
      </c>
      <c r="F152">
        <v>1</v>
      </c>
      <c r="G152" s="4">
        <f t="shared" si="6"/>
        <v>0.45680389194306398</v>
      </c>
      <c r="H152" s="4">
        <f t="shared" si="7"/>
        <v>0.29833944177787508</v>
      </c>
      <c r="I152" s="3">
        <v>5.0513480372538409E-2</v>
      </c>
    </row>
    <row r="153" spans="5:9" x14ac:dyDescent="0.55000000000000004">
      <c r="E153" s="1">
        <v>30.5</v>
      </c>
      <c r="F153">
        <v>1</v>
      </c>
      <c r="G153" s="4">
        <f t="shared" si="6"/>
        <v>0.45434864888069093</v>
      </c>
      <c r="H153" s="4">
        <f t="shared" si="7"/>
        <v>0.29827854674413035</v>
      </c>
      <c r="I153" s="3">
        <v>5.0572425647747943E-2</v>
      </c>
    </row>
    <row r="154" spans="5:9" x14ac:dyDescent="0.55000000000000004">
      <c r="E154" s="1">
        <v>30.75</v>
      </c>
      <c r="F154">
        <v>1</v>
      </c>
      <c r="G154" s="4">
        <f t="shared" si="6"/>
        <v>0.45191400966319267</v>
      </c>
      <c r="H154" s="4">
        <f t="shared" si="7"/>
        <v>0.29820207770921214</v>
      </c>
      <c r="I154" s="3">
        <v>5.0630232866788673E-2</v>
      </c>
    </row>
    <row r="155" spans="5:9" x14ac:dyDescent="0.55000000000000004">
      <c r="E155" s="1">
        <v>31</v>
      </c>
      <c r="F155">
        <v>1</v>
      </c>
      <c r="G155" s="4">
        <f t="shared" si="6"/>
        <v>0.44949976535750436</v>
      </c>
      <c r="H155" s="4">
        <f t="shared" si="7"/>
        <v>0.29811037237593685</v>
      </c>
      <c r="I155" s="3">
        <v>5.0686920761099867E-2</v>
      </c>
    </row>
    <row r="156" spans="5:9" x14ac:dyDescent="0.55000000000000004">
      <c r="E156" s="1">
        <v>31.25</v>
      </c>
      <c r="F156">
        <v>1</v>
      </c>
      <c r="G156" s="4">
        <f t="shared" si="6"/>
        <v>0.44710570937645372</v>
      </c>
      <c r="H156" s="4">
        <f t="shared" si="7"/>
        <v>0.29800376253351724</v>
      </c>
      <c r="I156" s="3">
        <v>5.0742507766929346E-2</v>
      </c>
    </row>
    <row r="157" spans="5:9" x14ac:dyDescent="0.55000000000000004">
      <c r="E157" s="1">
        <v>31.5</v>
      </c>
      <c r="F157">
        <v>1</v>
      </c>
      <c r="G157" s="4">
        <f t="shared" si="6"/>
        <v>0.44473163745072558</v>
      </c>
      <c r="H157" s="4">
        <f t="shared" si="7"/>
        <v>0.29788257415432506</v>
      </c>
      <c r="I157" s="3">
        <v>5.0797012029904866E-2</v>
      </c>
    </row>
    <row r="158" spans="5:9" x14ac:dyDescent="0.55000000000000004">
      <c r="E158" s="1">
        <v>31.75</v>
      </c>
      <c r="F158">
        <v>1</v>
      </c>
      <c r="G158" s="4">
        <f t="shared" si="6"/>
        <v>0.44237734760117514</v>
      </c>
      <c r="H158" s="4">
        <f t="shared" si="7"/>
        <v>0.29774712748911736</v>
      </c>
      <c r="I158" s="3">
        <v>5.0850451409535313E-2</v>
      </c>
    </row>
    <row r="159" spans="5:9" x14ac:dyDescent="0.55000000000000004">
      <c r="E159" s="1">
        <v>32</v>
      </c>
      <c r="F159">
        <v>1</v>
      </c>
      <c r="G159" s="4">
        <f t="shared" si="6"/>
        <v>0.44004264011148592</v>
      </c>
      <c r="H159" s="4">
        <f t="shared" si="7"/>
        <v>0.29759773716074978</v>
      </c>
      <c r="I159" s="3">
        <v>5.0902843483642844E-2</v>
      </c>
    </row>
    <row r="160" spans="5:9" x14ac:dyDescent="0.55000000000000004">
      <c r="E160" s="1">
        <v>32.25</v>
      </c>
      <c r="F160">
        <v>1</v>
      </c>
      <c r="G160" s="4">
        <f t="shared" ref="G160:G191" si="8">IF(lambda=0,1,(1-EXP(-lambda*$E160))/(lambda*$E160))</f>
        <v>0.43772731750116889</v>
      </c>
      <c r="H160" s="4">
        <f t="shared" ref="H160:H191" si="9">G160-EXP(-lambda*$E160)</f>
        <v>0.29743471225640217</v>
      </c>
      <c r="I160" s="3">
        <v>5.0954205552726867E-2</v>
      </c>
    </row>
    <row r="161" spans="5:9" x14ac:dyDescent="0.55000000000000004">
      <c r="E161" s="1">
        <v>32.5</v>
      </c>
      <c r="F161">
        <v>1</v>
      </c>
      <c r="G161" s="4">
        <f t="shared" si="8"/>
        <v>0.43543118449889662</v>
      </c>
      <c r="H161" s="4">
        <f t="shared" si="9"/>
        <v>0.29725835641833787</v>
      </c>
      <c r="I161" s="3">
        <v>5.1004554644261096E-2</v>
      </c>
    </row>
    <row r="162" spans="5:9" x14ac:dyDescent="0.55000000000000004">
      <c r="E162" s="1">
        <v>32.75</v>
      </c>
      <c r="F162">
        <v>1</v>
      </c>
      <c r="G162" s="4">
        <f t="shared" si="8"/>
        <v>0.43315404801617008</v>
      </c>
      <c r="H162" s="4">
        <f t="shared" si="9"/>
        <v>0.29706896793322091</v>
      </c>
      <c r="I162" s="3">
        <v>5.1053907516924589E-2</v>
      </c>
    </row>
    <row r="163" spans="5:9" x14ac:dyDescent="0.55000000000000004">
      <c r="E163" s="1">
        <v>33</v>
      </c>
      <c r="F163">
        <v>1</v>
      </c>
      <c r="G163" s="4">
        <f t="shared" si="8"/>
        <v>0.43089571712131214</v>
      </c>
      <c r="H163" s="4">
        <f t="shared" si="9"/>
        <v>0.29686683982001316</v>
      </c>
      <c r="I163" s="3">
        <v>5.1102280664767727E-2</v>
      </c>
    </row>
    <row r="164" spans="5:9" x14ac:dyDescent="0.55000000000000004">
      <c r="E164" s="1">
        <v>33.25</v>
      </c>
      <c r="F164">
        <v>1</v>
      </c>
      <c r="G164" s="4">
        <f t="shared" si="8"/>
        <v>0.42865600301378509</v>
      </c>
      <c r="H164" s="4">
        <f t="shared" si="9"/>
        <v>0.29665225991647381</v>
      </c>
      <c r="I164" s="3">
        <v>5.1149690321314327E-2</v>
      </c>
    </row>
    <row r="165" spans="5:9" x14ac:dyDescent="0.55000000000000004">
      <c r="E165" s="1">
        <v>33.5</v>
      </c>
      <c r="F165">
        <v>1</v>
      </c>
      <c r="G165" s="4">
        <f t="shared" si="8"/>
        <v>0.42643471899882657</v>
      </c>
      <c r="H165" s="4">
        <f t="shared" si="9"/>
        <v>0.2964255109642826</v>
      </c>
      <c r="I165" s="3">
        <v>5.1196152463600639E-2</v>
      </c>
    </row>
    <row r="166" spans="5:9" x14ac:dyDescent="0.55000000000000004">
      <c r="E166" s="1">
        <v>33.75</v>
      </c>
      <c r="F166">
        <v>1</v>
      </c>
      <c r="G166" s="4">
        <f t="shared" si="8"/>
        <v>0.42423168046240112</v>
      </c>
      <c r="H166" s="4">
        <f t="shared" si="9"/>
        <v>0.29618687069280891</v>
      </c>
      <c r="I166" s="3">
        <v>5.1241682816152337E-2</v>
      </c>
    </row>
    <row r="167" spans="5:9" x14ac:dyDescent="0.55000000000000004">
      <c r="E167" s="1">
        <v>34</v>
      </c>
      <c r="F167">
        <v>1</v>
      </c>
      <c r="G167" s="4">
        <f t="shared" si="8"/>
        <v>0.42204670484646262</v>
      </c>
      <c r="H167" s="4">
        <f t="shared" si="9"/>
        <v>0.29593661190154819</v>
      </c>
      <c r="I167" s="3">
        <v>5.1286296854900368E-2</v>
      </c>
    </row>
    <row r="168" spans="5:9" x14ac:dyDescent="0.55000000000000004">
      <c r="E168" s="1">
        <v>34.25</v>
      </c>
      <c r="F168">
        <v>1</v>
      </c>
      <c r="G168" s="4">
        <f t="shared" si="8"/>
        <v>0.41987961162452336</v>
      </c>
      <c r="H168" s="4">
        <f t="shared" si="9"/>
        <v>0.29567500254124496</v>
      </c>
      <c r="I168" s="3">
        <v>5.1330009811036713E-2</v>
      </c>
    </row>
    <row r="169" spans="5:9" x14ac:dyDescent="0.55000000000000004">
      <c r="E169" s="1">
        <v>34.5</v>
      </c>
      <c r="F169">
        <v>1</v>
      </c>
      <c r="G169" s="4">
        <f t="shared" si="8"/>
        <v>0.41773022227752687</v>
      </c>
      <c r="H169" s="4">
        <f t="shared" si="9"/>
        <v>0.29540230579372478</v>
      </c>
      <c r="I169" s="3">
        <v>5.1372836674810823E-2</v>
      </c>
    </row>
    <row r="170" spans="5:9" x14ac:dyDescent="0.55000000000000004">
      <c r="E170" s="1">
        <v>34.75</v>
      </c>
      <c r="F170">
        <v>1</v>
      </c>
      <c r="G170" s="4">
        <f t="shared" si="8"/>
        <v>0.4155983602700194</v>
      </c>
      <c r="H170" s="4">
        <f t="shared" si="9"/>
        <v>0.29511878015045462</v>
      </c>
      <c r="I170" s="3">
        <v>5.14147921992677E-2</v>
      </c>
    </row>
    <row r="171" spans="5:9" x14ac:dyDescent="0.55000000000000004">
      <c r="E171" s="1">
        <v>35</v>
      </c>
      <c r="F171">
        <v>1</v>
      </c>
      <c r="G171" s="4">
        <f t="shared" si="8"/>
        <v>0.41348385102661706</v>
      </c>
      <c r="H171" s="4">
        <f t="shared" si="9"/>
        <v>0.29482467948985136</v>
      </c>
      <c r="I171" s="3">
        <v>5.1455890903928631E-2</v>
      </c>
    </row>
    <row r="172" spans="5:9" x14ac:dyDescent="0.55000000000000004">
      <c r="E172" s="1">
        <v>35.25</v>
      </c>
      <c r="F172">
        <v>1</v>
      </c>
      <c r="G172" s="4">
        <f t="shared" si="8"/>
        <v>0.41138652190876496</v>
      </c>
      <c r="H172" s="4">
        <f t="shared" si="9"/>
        <v>0.29452025315335845</v>
      </c>
      <c r="I172" s="3">
        <v>5.1496147078415211E-2</v>
      </c>
    </row>
    <row r="173" spans="5:9" x14ac:dyDescent="0.55000000000000004">
      <c r="E173" s="1">
        <v>35.5</v>
      </c>
      <c r="F173">
        <v>1</v>
      </c>
      <c r="G173" s="4">
        <f t="shared" si="8"/>
        <v>0.40930620219178337</v>
      </c>
      <c r="H173" s="4">
        <f t="shared" si="9"/>
        <v>0.29420574602030947</v>
      </c>
      <c r="I173" s="3">
        <v>5.1535574786017793E-2</v>
      </c>
    </row>
    <row r="174" spans="5:9" x14ac:dyDescent="0.55000000000000004">
      <c r="E174" s="1">
        <v>35.75</v>
      </c>
      <c r="F174">
        <v>1</v>
      </c>
      <c r="G174" s="4">
        <f t="shared" si="8"/>
        <v>0.40724272304219894</v>
      </c>
      <c r="H174" s="4">
        <f t="shared" si="9"/>
        <v>0.29388139858159834</v>
      </c>
      <c r="I174" s="3">
        <v>5.1574187867208958E-2</v>
      </c>
    </row>
    <row r="175" spans="5:9" x14ac:dyDescent="0.55000000000000004">
      <c r="E175" s="1">
        <v>36</v>
      </c>
      <c r="F175">
        <v>1</v>
      </c>
      <c r="G175" s="4">
        <f t="shared" si="8"/>
        <v>0.40519591749535588</v>
      </c>
      <c r="H175" s="4">
        <f t="shared" si="9"/>
        <v>0.29354744701217417</v>
      </c>
      <c r="I175" s="3">
        <v>5.1611999943103073E-2</v>
      </c>
    </row>
    <row r="176" spans="5:9" x14ac:dyDescent="0.55000000000000004">
      <c r="E176" s="1">
        <v>36.25</v>
      </c>
      <c r="F176">
        <v>1</v>
      </c>
      <c r="G176" s="4">
        <f t="shared" si="8"/>
        <v>0.40316562043330484</v>
      </c>
      <c r="H176" s="4">
        <f t="shared" si="9"/>
        <v>0.29320412324237954</v>
      </c>
      <c r="I176" s="3">
        <v>5.1649024418862564E-2</v>
      </c>
    </row>
    <row r="177" spans="5:9" x14ac:dyDescent="0.55000000000000004">
      <c r="E177" s="1">
        <v>36.5</v>
      </c>
      <c r="F177">
        <v>1</v>
      </c>
      <c r="G177" s="4">
        <f t="shared" si="8"/>
        <v>0.40115166856296458</v>
      </c>
      <c r="H177" s="4">
        <f t="shared" si="9"/>
        <v>0.29285165502815047</v>
      </c>
      <c r="I177" s="3">
        <v>5.1685274487051909E-2</v>
      </c>
    </row>
    <row r="178" spans="5:9" x14ac:dyDescent="0.55000000000000004">
      <c r="E178" s="1">
        <v>36.75</v>
      </c>
      <c r="F178">
        <v>1</v>
      </c>
      <c r="G178" s="4">
        <f t="shared" si="8"/>
        <v>0.3991539003945539</v>
      </c>
      <c r="H178" s="4">
        <f t="shared" si="9"/>
        <v>0.2924902660200952</v>
      </c>
      <c r="I178" s="3">
        <v>5.172076313093997E-2</v>
      </c>
    </row>
    <row r="179" spans="5:9" x14ac:dyDescent="0.55000000000000004">
      <c r="E179" s="1">
        <v>37</v>
      </c>
      <c r="F179">
        <v>1</v>
      </c>
      <c r="G179" s="4">
        <f t="shared" si="8"/>
        <v>0.39717215622029034</v>
      </c>
      <c r="H179" s="4">
        <f t="shared" si="9"/>
        <v>0.29212017583147065</v>
      </c>
      <c r="I179" s="3">
        <v>5.1755503127751568E-2</v>
      </c>
    </row>
    <row r="180" spans="5:9" x14ac:dyDescent="0.55000000000000004">
      <c r="E180" s="1">
        <v>37.25</v>
      </c>
      <c r="F180">
        <v>1</v>
      </c>
      <c r="G180" s="4">
        <f t="shared" si="8"/>
        <v>0.39520627809335157</v>
      </c>
      <c r="H180" s="4">
        <f t="shared" si="9"/>
        <v>0.29174160010507189</v>
      </c>
      <c r="I180" s="3">
        <v>5.1789507051869091E-2</v>
      </c>
    </row>
    <row r="181" spans="5:9" x14ac:dyDescent="0.55000000000000004">
      <c r="E181" s="1">
        <v>37.5</v>
      </c>
      <c r="F181">
        <v>1</v>
      </c>
      <c r="G181" s="4">
        <f t="shared" si="8"/>
        <v>0.39325610980709685</v>
      </c>
      <c r="H181" s="4">
        <f t="shared" si="9"/>
        <v>0.2913547505790543</v>
      </c>
      <c r="I181" s="3">
        <v>5.1822787277984755E-2</v>
      </c>
    </row>
    <row r="182" spans="5:9" x14ac:dyDescent="0.55000000000000004">
      <c r="E182" s="1">
        <v>37.75</v>
      </c>
      <c r="F182">
        <v>1</v>
      </c>
      <c r="G182" s="4">
        <f t="shared" si="8"/>
        <v>0.39132149687454509</v>
      </c>
      <c r="H182" s="4">
        <f t="shared" si="9"/>
        <v>0.29095983515170243</v>
      </c>
      <c r="I182" s="3">
        <v>5.1855355984204474E-2</v>
      </c>
    </row>
    <row r="183" spans="5:9" x14ac:dyDescent="0.55000000000000004">
      <c r="E183" s="1">
        <v>38</v>
      </c>
      <c r="F183">
        <v>1</v>
      </c>
      <c r="G183" s="4">
        <f t="shared" si="8"/>
        <v>0.38940228650810566</v>
      </c>
      <c r="H183" s="4">
        <f t="shared" si="9"/>
        <v>0.29055705794516384</v>
      </c>
      <c r="I183" s="3">
        <v>5.1887225155103918E-2</v>
      </c>
    </row>
    <row r="184" spans="5:9" x14ac:dyDescent="0.55000000000000004">
      <c r="E184" s="1">
        <v>38.25</v>
      </c>
      <c r="F184">
        <v>1</v>
      </c>
      <c r="G184" s="4">
        <f t="shared" si="8"/>
        <v>0.38749832759955966</v>
      </c>
      <c r="H184" s="4">
        <f t="shared" si="9"/>
        <v>0.29014661936816399</v>
      </c>
      <c r="I184" s="3">
        <v>5.1918406584737571E-2</v>
      </c>
    </row>
    <row r="185" spans="5:9" x14ac:dyDescent="0.55000000000000004">
      <c r="E185" s="1">
        <v>38.5</v>
      </c>
      <c r="F185">
        <v>1</v>
      </c>
      <c r="G185" s="4">
        <f t="shared" si="8"/>
        <v>0.38560947070028773</v>
      </c>
      <c r="H185" s="4">
        <f t="shared" si="9"/>
        <v>0.28972871617771728</v>
      </c>
      <c r="I185" s="3">
        <v>5.1948911879601503E-2</v>
      </c>
    </row>
    <row r="186" spans="5:9" x14ac:dyDescent="0.55000000000000004">
      <c r="E186" s="1">
        <v>38.75</v>
      </c>
      <c r="F186">
        <v>1</v>
      </c>
      <c r="G186" s="4">
        <f t="shared" si="8"/>
        <v>0.3837355680017413</v>
      </c>
      <c r="H186" s="4">
        <f t="shared" si="9"/>
        <v>0.28930354153985072</v>
      </c>
      <c r="I186" s="3">
        <v>5.1978752461550502E-2</v>
      </c>
    </row>
    <row r="187" spans="5:9" x14ac:dyDescent="0.55000000000000004">
      <c r="E187" s="1">
        <v>39</v>
      </c>
      <c r="F187">
        <v>1</v>
      </c>
      <c r="G187" s="4">
        <f t="shared" si="8"/>
        <v>0.38187647331615532</v>
      </c>
      <c r="H187" s="4">
        <f t="shared" si="9"/>
        <v>0.288871285089356</v>
      </c>
      <c r="I187" s="3">
        <v>5.2007939570670361E-2</v>
      </c>
    </row>
    <row r="188" spans="5:9" x14ac:dyDescent="0.55000000000000004">
      <c r="E188" s="1">
        <v>39.25</v>
      </c>
      <c r="F188">
        <v>1</v>
      </c>
      <c r="G188" s="4">
        <f t="shared" si="8"/>
        <v>0.38003204205749713</v>
      </c>
      <c r="H188" s="4">
        <f t="shared" si="9"/>
        <v>0.288432132988584</v>
      </c>
      <c r="I188" s="3">
        <v>5.2036484268105934E-2</v>
      </c>
    </row>
    <row r="189" spans="5:9" x14ac:dyDescent="0.55000000000000004">
      <c r="E189" s="1">
        <v>39.5</v>
      </c>
      <c r="F189">
        <v>1</v>
      </c>
      <c r="G189" s="4">
        <f t="shared" si="8"/>
        <v>0.37820213122265073</v>
      </c>
      <c r="H189" s="4">
        <f t="shared" si="9"/>
        <v>0.28798626798529825</v>
      </c>
      <c r="I189" s="3">
        <v>5.2064397438845667E-2</v>
      </c>
    </row>
    <row r="190" spans="5:9" x14ac:dyDescent="0.55000000000000004">
      <c r="E190" s="1">
        <v>39.75</v>
      </c>
      <c r="F190">
        <v>1</v>
      </c>
      <c r="G190" s="4">
        <f t="shared" si="8"/>
        <v>0.37638659937283253</v>
      </c>
      <c r="H190" s="4">
        <f t="shared" si="9"/>
        <v>0.28753386946960124</v>
      </c>
      <c r="I190" s="3">
        <v>5.2091689794463235E-2</v>
      </c>
    </row>
    <row r="191" spans="5:9" x14ac:dyDescent="0.55000000000000004">
      <c r="E191" s="1">
        <v>40</v>
      </c>
      <c r="F191">
        <v>1</v>
      </c>
      <c r="G191" s="4">
        <f t="shared" si="8"/>
        <v>0.3745853066152352</v>
      </c>
      <c r="H191" s="4">
        <f t="shared" si="9"/>
        <v>0.28707511352994808</v>
      </c>
      <c r="I191" s="3">
        <v>5.2118371875817048E-2</v>
      </c>
    </row>
    <row r="192" spans="5:9" x14ac:dyDescent="0.55000000000000004">
      <c r="E192" s="1">
        <v>40.25</v>
      </c>
      <c r="F192">
        <v>1</v>
      </c>
      <c r="G192" s="4">
        <f t="shared" ref="G192:G223" si="10">IF(lambda=0,1,(1-EXP(-lambda*$E192))/(lambda*$E192))</f>
        <v>0.37279811458489731</v>
      </c>
      <c r="H192" s="4">
        <f t="shared" ref="H192:H223" si="11">G192-EXP(-lambda*$E192)</f>
        <v>0.28661017300826225</v>
      </c>
      <c r="I192" s="3">
        <v>5.2144454055708056E-2</v>
      </c>
    </row>
    <row r="193" spans="5:9" x14ac:dyDescent="0.55000000000000004">
      <c r="E193" s="1">
        <v>40.5</v>
      </c>
      <c r="F193">
        <v>1</v>
      </c>
      <c r="G193" s="4">
        <f t="shared" si="10"/>
        <v>0.37102488642679626</v>
      </c>
      <c r="H193" s="4">
        <f t="shared" si="11"/>
        <v>0.28613921755416782</v>
      </c>
      <c r="I193" s="3">
        <v>5.2169946541496814E-2</v>
      </c>
    </row>
    <row r="194" spans="5:9" x14ac:dyDescent="0.55000000000000004">
      <c r="E194" s="1">
        <v>40.75</v>
      </c>
      <c r="F194">
        <v>1</v>
      </c>
      <c r="G194" s="4">
        <f t="shared" si="10"/>
        <v>0.36926548677816018</v>
      </c>
      <c r="H194" s="4">
        <f t="shared" si="11"/>
        <v>0.28566241367835082</v>
      </c>
      <c r="I194" s="3">
        <v>5.2194859377680029E-2</v>
      </c>
    </row>
    <row r="195" spans="5:9" x14ac:dyDescent="0.55000000000000004">
      <c r="E195" s="1">
        <v>41</v>
      </c>
      <c r="F195">
        <v>1</v>
      </c>
      <c r="G195" s="4">
        <f t="shared" si="10"/>
        <v>0.36751978175099798</v>
      </c>
      <c r="H195" s="4">
        <f t="shared" si="11"/>
        <v>0.28517992480506493</v>
      </c>
      <c r="I195" s="3">
        <v>5.2219202448427655E-2</v>
      </c>
    </row>
    <row r="196" spans="5:9" x14ac:dyDescent="0.55000000000000004">
      <c r="E196" s="1">
        <v>41.25</v>
      </c>
      <c r="F196">
        <v>1</v>
      </c>
      <c r="G196" s="4">
        <f t="shared" si="10"/>
        <v>0.36578763891484328</v>
      </c>
      <c r="H196" s="4">
        <f t="shared" si="11"/>
        <v>0.28469191132379407</v>
      </c>
      <c r="I196" s="3">
        <v>5.2242985480080675E-2</v>
      </c>
    </row>
    <row r="197" spans="5:9" x14ac:dyDescent="0.55000000000000004">
      <c r="E197" s="1">
        <v>41.5</v>
      </c>
      <c r="F197">
        <v>1</v>
      </c>
      <c r="G197" s="4">
        <f t="shared" si="10"/>
        <v>0.36406892727970991</v>
      </c>
      <c r="H197" s="4">
        <f t="shared" si="11"/>
        <v>0.28419853064008477</v>
      </c>
      <c r="I197" s="3">
        <v>5.2266218043610646E-2</v>
      </c>
    </row>
    <row r="198" spans="5:9" x14ac:dyDescent="0.55000000000000004">
      <c r="E198" s="1">
        <v>41.75</v>
      </c>
      <c r="F198">
        <v>1</v>
      </c>
      <c r="G198" s="4">
        <f t="shared" si="10"/>
        <v>0.3623635172792567</v>
      </c>
      <c r="H198" s="4">
        <f t="shared" si="11"/>
        <v>0.28369993722556297</v>
      </c>
      <c r="I198" s="3">
        <v>5.2288909557041102E-2</v>
      </c>
    </row>
    <row r="199" spans="5:9" x14ac:dyDescent="0.55000000000000004">
      <c r="E199" s="1">
        <v>42</v>
      </c>
      <c r="F199">
        <v>1</v>
      </c>
      <c r="G199" s="4">
        <f t="shared" si="10"/>
        <v>0.36067128075415877</v>
      </c>
      <c r="H199" s="4">
        <f t="shared" si="11"/>
        <v>0.2831962826671463</v>
      </c>
      <c r="I199" s="3">
        <v>5.2311069287831885E-2</v>
      </c>
    </row>
    <row r="200" spans="5:9" x14ac:dyDescent="0.55000000000000004">
      <c r="E200" s="1">
        <v>42.25</v>
      </c>
      <c r="F200">
        <v>1</v>
      </c>
      <c r="G200" s="4">
        <f t="shared" si="10"/>
        <v>0.35899209093568207</v>
      </c>
      <c r="H200" s="4">
        <f t="shared" si="11"/>
        <v>0.28268771571546553</v>
      </c>
      <c r="I200" s="3">
        <v>5.2332706355226577E-2</v>
      </c>
    </row>
    <row r="201" spans="5:9" x14ac:dyDescent="0.55000000000000004">
      <c r="E201" s="1">
        <v>42.5</v>
      </c>
      <c r="F201">
        <v>1</v>
      </c>
      <c r="G201" s="4">
        <f t="shared" si="10"/>
        <v>0.35732582242945926</v>
      </c>
      <c r="H201" s="4">
        <f t="shared" si="11"/>
        <v>0.28217438233250719</v>
      </c>
      <c r="I201" s="3">
        <v>5.2353829732563806E-2</v>
      </c>
    </row>
    <row r="202" spans="5:9" x14ac:dyDescent="0.55000000000000004">
      <c r="E202" s="1">
        <v>42.75</v>
      </c>
      <c r="F202">
        <v>1</v>
      </c>
      <c r="G202" s="4">
        <f t="shared" si="10"/>
        <v>0.35567235119946439</v>
      </c>
      <c r="H202" s="4">
        <f t="shared" si="11"/>
        <v>0.28165642573848992</v>
      </c>
      <c r="I202" s="3">
        <v>5.2374448249552986E-2</v>
      </c>
    </row>
    <row r="203" spans="5:9" x14ac:dyDescent="0.55000000000000004">
      <c r="E203" s="1">
        <v>43</v>
      </c>
      <c r="F203">
        <v>1</v>
      </c>
      <c r="G203" s="4">
        <f t="shared" si="10"/>
        <v>0.35403155455218355</v>
      </c>
      <c r="H203" s="4">
        <f t="shared" si="11"/>
        <v>0.28113398645798654</v>
      </c>
      <c r="I203" s="3">
        <v>5.2394570594514876E-2</v>
      </c>
    </row>
    <row r="204" spans="5:9" x14ac:dyDescent="0.55000000000000004">
      <c r="E204" s="1">
        <v>43.25</v>
      </c>
      <c r="F204">
        <v>1</v>
      </c>
      <c r="G204" s="4">
        <f t="shared" si="10"/>
        <v>0.35240331112097895</v>
      </c>
      <c r="H204" s="4">
        <f t="shared" si="11"/>
        <v>0.28060720236530357</v>
      </c>
      <c r="I204" s="3">
        <v>5.2414205316587671E-2</v>
      </c>
    </row>
    <row r="205" spans="5:9" x14ac:dyDescent="0.55000000000000004">
      <c r="E205" s="1">
        <v>43.5</v>
      </c>
      <c r="F205">
        <v>1</v>
      </c>
      <c r="G205" s="4">
        <f t="shared" si="10"/>
        <v>0.3507875008506447</v>
      </c>
      <c r="H205" s="4">
        <f t="shared" si="11"/>
        <v>0.28007620872913008</v>
      </c>
      <c r="I205" s="3">
        <v>5.2433360827899088E-2</v>
      </c>
    </row>
    <row r="206" spans="5:9" x14ac:dyDescent="0.55000000000000004">
      <c r="E206" s="1">
        <v>43.75</v>
      </c>
      <c r="F206">
        <v>1</v>
      </c>
      <c r="G206" s="4">
        <f t="shared" si="10"/>
        <v>0.34918400498215024</v>
      </c>
      <c r="H206" s="4">
        <f t="shared" si="11"/>
        <v>0.27954113825646676</v>
      </c>
      <c r="I206" s="3">
        <v>5.2452045405704917E-2</v>
      </c>
    </row>
    <row r="207" spans="5:9" x14ac:dyDescent="0.55000000000000004">
      <c r="E207" s="1">
        <v>44</v>
      </c>
      <c r="F207">
        <v>1</v>
      </c>
      <c r="G207" s="4">
        <f t="shared" si="10"/>
        <v>0.34759270603757153</v>
      </c>
      <c r="H207" s="4">
        <f t="shared" si="11"/>
        <v>0.27900212113584816</v>
      </c>
      <c r="I207" s="3">
        <v>5.2470267194494637E-2</v>
      </c>
    </row>
    <row r="208" spans="5:9" x14ac:dyDescent="0.55000000000000004">
      <c r="E208" s="1">
        <v>44.25</v>
      </c>
      <c r="F208">
        <v>1</v>
      </c>
      <c r="G208" s="4">
        <f t="shared" si="10"/>
        <v>0.34601348780520508</v>
      </c>
      <c r="H208" s="4">
        <f t="shared" si="11"/>
        <v>0.27845928507986706</v>
      </c>
      <c r="I208" s="3">
        <v>5.2488034208064555E-2</v>
      </c>
    </row>
    <row r="209" spans="5:9" x14ac:dyDescent="0.55000000000000004">
      <c r="E209" s="1">
        <v>44.5</v>
      </c>
      <c r="F209">
        <v>1</v>
      </c>
      <c r="G209" s="4">
        <f t="shared" si="10"/>
        <v>0.34444623532486451</v>
      </c>
      <c r="H209" s="4">
        <f t="shared" si="11"/>
        <v>0.27791275536701382</v>
      </c>
      <c r="I209" s="3">
        <v>5.2505354331558944E-2</v>
      </c>
    </row>
    <row r="210" spans="5:9" x14ac:dyDescent="0.55000000000000004">
      <c r="E210" s="1">
        <v>44.75</v>
      </c>
      <c r="F210">
        <v>1</v>
      </c>
      <c r="G210" s="4">
        <f t="shared" si="10"/>
        <v>0.3428908348733557</v>
      </c>
      <c r="H210" s="4">
        <f t="shared" si="11"/>
        <v>0.27736265488284023</v>
      </c>
      <c r="I210" s="3">
        <v>5.2522235323479723E-2</v>
      </c>
    </row>
    <row r="211" spans="5:9" x14ac:dyDescent="0.55000000000000004">
      <c r="E211" s="1">
        <v>45</v>
      </c>
      <c r="F211">
        <v>1</v>
      </c>
      <c r="G211" s="4">
        <f t="shared" si="10"/>
        <v>0.34134717395012948</v>
      </c>
      <c r="H211" s="4">
        <f t="shared" si="11"/>
        <v>0.27680910416045923</v>
      </c>
      <c r="I211" s="3">
        <v>5.2538684817665132E-2</v>
      </c>
    </row>
    <row r="212" spans="5:9" x14ac:dyDescent="0.55000000000000004">
      <c r="E212" s="1">
        <v>45.25</v>
      </c>
      <c r="F212">
        <v>1</v>
      </c>
      <c r="G212" s="4">
        <f t="shared" si="10"/>
        <v>0.3398151412631093</v>
      </c>
      <c r="H212" s="4">
        <f t="shared" si="11"/>
        <v>0.27625222142039113</v>
      </c>
      <c r="I212" s="3">
        <v>5.2554710325237917E-2</v>
      </c>
    </row>
    <row r="213" spans="5:9" x14ac:dyDescent="0.55000000000000004">
      <c r="E213" s="1">
        <v>45.5</v>
      </c>
      <c r="F213">
        <v>1</v>
      </c>
      <c r="G213" s="4">
        <f t="shared" si="10"/>
        <v>0.33829462671469146</v>
      </c>
      <c r="H213" s="4">
        <f t="shared" si="11"/>
        <v>0.27569212260976572</v>
      </c>
      <c r="I213" s="3">
        <v>5.2570319236523347E-2</v>
      </c>
    </row>
    <row r="214" spans="5:9" x14ac:dyDescent="0.55000000000000004">
      <c r="E214" s="1">
        <v>45.75</v>
      </c>
      <c r="F214">
        <v>1</v>
      </c>
      <c r="G214" s="4">
        <f t="shared" si="10"/>
        <v>0.33678552138791562</v>
      </c>
      <c r="H214" s="4">
        <f t="shared" si="11"/>
        <v>0.27512892144089135</v>
      </c>
      <c r="I214" s="3">
        <v>5.2585518822937764E-2</v>
      </c>
    </row>
    <row r="215" spans="5:9" x14ac:dyDescent="0.55000000000000004">
      <c r="E215" s="1">
        <v>46</v>
      </c>
      <c r="F215">
        <v>1</v>
      </c>
      <c r="G215" s="4">
        <f t="shared" si="10"/>
        <v>0.33528771753280384</v>
      </c>
      <c r="H215" s="4">
        <f t="shared" si="11"/>
        <v>0.27456272942920057</v>
      </c>
      <c r="I215" s="3">
        <v>5.2600316238847929E-2</v>
      </c>
    </row>
    <row r="216" spans="5:9" x14ac:dyDescent="0.55000000000000004">
      <c r="E216" s="1">
        <v>46.25</v>
      </c>
      <c r="F216">
        <v>1</v>
      </c>
      <c r="G216" s="4">
        <f t="shared" si="10"/>
        <v>0.33380110855286599</v>
      </c>
      <c r="H216" s="4">
        <f t="shared" si="11"/>
        <v>0.27399365593058217</v>
      </c>
      <c r="I216" s="3">
        <v>5.2614718523401639E-2</v>
      </c>
    </row>
    <row r="217" spans="5:9" x14ac:dyDescent="0.55000000000000004">
      <c r="E217" s="1">
        <v>46.5</v>
      </c>
      <c r="F217">
        <v>1</v>
      </c>
      <c r="G217" s="4">
        <f t="shared" si="10"/>
        <v>0.33232558899176878</v>
      </c>
      <c r="H217" s="4">
        <f t="shared" si="11"/>
        <v>0.27342180817810935</v>
      </c>
      <c r="I217" s="3">
        <v>5.2628732602330162E-2</v>
      </c>
    </row>
    <row r="218" spans="5:9" x14ac:dyDescent="0.55000000000000004">
      <c r="E218" s="1">
        <v>46.75</v>
      </c>
      <c r="F218">
        <v>1</v>
      </c>
      <c r="G218" s="4">
        <f t="shared" si="10"/>
        <v>0.33086105452016762</v>
      </c>
      <c r="H218" s="4">
        <f t="shared" si="11"/>
        <v>0.27284729131817387</v>
      </c>
      <c r="I218" s="3">
        <v>5.264236528972277E-2</v>
      </c>
    </row>
    <row r="219" spans="5:9" x14ac:dyDescent="0.55000000000000004">
      <c r="E219" s="1">
        <v>47</v>
      </c>
      <c r="F219">
        <v>1</v>
      </c>
      <c r="G219" s="4">
        <f t="shared" si="10"/>
        <v>0.32940740192269746</v>
      </c>
      <c r="H219" s="4">
        <f t="shared" si="11"/>
        <v>0.27227020844603456</v>
      </c>
      <c r="I219" s="3">
        <v>5.2655623289773947E-2</v>
      </c>
    </row>
    <row r="220" spans="5:9" x14ac:dyDescent="0.55000000000000004">
      <c r="E220" s="1">
        <v>47.25</v>
      </c>
      <c r="F220">
        <v>1</v>
      </c>
      <c r="G220" s="4">
        <f t="shared" si="10"/>
        <v>0.32796452908512286</v>
      </c>
      <c r="H220" s="4">
        <f t="shared" si="11"/>
        <v>0.27169066064079112</v>
      </c>
      <c r="I220" s="3">
        <v>5.2668513198503575E-2</v>
      </c>
    </row>
    <row r="221" spans="5:9" x14ac:dyDescent="0.55000000000000004">
      <c r="E221" s="1">
        <v>47.5</v>
      </c>
      <c r="F221">
        <v>1</v>
      </c>
      <c r="G221" s="4">
        <f t="shared" si="10"/>
        <v>0.32653233498164291</v>
      </c>
      <c r="H221" s="4">
        <f t="shared" si="11"/>
        <v>0.27110874699979037</v>
      </c>
      <c r="I221" s="3">
        <v>5.2681041505450547E-2</v>
      </c>
    </row>
    <row r="222" spans="5:9" x14ac:dyDescent="0.55000000000000004">
      <c r="E222" s="1">
        <v>47.75</v>
      </c>
      <c r="F222">
        <v>1</v>
      </c>
      <c r="G222" s="4">
        <f t="shared" si="10"/>
        <v>0.32511071966235083</v>
      </c>
      <c r="H222" s="4">
        <f t="shared" si="11"/>
        <v>0.27052456467247549</v>
      </c>
      <c r="I222" s="3">
        <v>5.2693214595340251E-2</v>
      </c>
    </row>
    <row r="223" spans="5:9" x14ac:dyDescent="0.55000000000000004">
      <c r="E223" s="1">
        <v>48</v>
      </c>
      <c r="F223">
        <v>1</v>
      </c>
      <c r="G223" s="4">
        <f t="shared" si="10"/>
        <v>0.32369958424084583</v>
      </c>
      <c r="H223" s="4">
        <f t="shared" si="11"/>
        <v>0.26993820889368636</v>
      </c>
      <c r="I223" s="3">
        <v>5.2705038749726311E-2</v>
      </c>
    </row>
    <row r="224" spans="5:9" x14ac:dyDescent="0.55000000000000004">
      <c r="E224" s="1">
        <v>48.25</v>
      </c>
      <c r="F224">
        <v>1</v>
      </c>
      <c r="G224" s="4">
        <f t="shared" ref="G224:G231" si="12">IF(lambda=0,1,(1-EXP(-lambda*$E224))/(lambda*$E224))</f>
        <v>0.32229883088199451</v>
      </c>
      <c r="H224" s="4">
        <f t="shared" ref="H224:H231" si="13">G224-EXP(-lambda*$E224)</f>
        <v>0.26934977301641927</v>
      </c>
      <c r="I224" s="3">
        <v>5.2716520148606907E-2</v>
      </c>
    </row>
    <row r="225" spans="5:9" x14ac:dyDescent="0.55000000000000004">
      <c r="E225" s="1">
        <v>48.5</v>
      </c>
      <c r="F225">
        <v>1</v>
      </c>
      <c r="G225" s="4">
        <f t="shared" si="12"/>
        <v>0.3209083627898412</v>
      </c>
      <c r="H225" s="4">
        <f t="shared" si="13"/>
        <v>0.26875934854405581</v>
      </c>
      <c r="I225" s="3">
        <v>5.2727664872016203E-2</v>
      </c>
    </row>
    <row r="226" spans="5:9" x14ac:dyDescent="0.55000000000000004">
      <c r="E226" s="1">
        <v>48.75</v>
      </c>
      <c r="F226">
        <v>1</v>
      </c>
      <c r="G226" s="4">
        <f t="shared" si="12"/>
        <v>0.31952808419566447</v>
      </c>
      <c r="H226" s="4">
        <f t="shared" si="13"/>
        <v>0.26816702516206792</v>
      </c>
      <c r="I226" s="3">
        <v>5.2738478901591113E-2</v>
      </c>
    </row>
    <row r="227" spans="5:9" x14ac:dyDescent="0.55000000000000004">
      <c r="E227" s="1">
        <v>49</v>
      </c>
      <c r="F227">
        <v>1</v>
      </c>
      <c r="G227" s="4">
        <f t="shared" si="12"/>
        <v>0.31815790034617814</v>
      </c>
      <c r="H227" s="4">
        <f t="shared" si="13"/>
        <v>0.26757289076920837</v>
      </c>
      <c r="I227" s="3">
        <v>5.2748968122113882E-2</v>
      </c>
    </row>
    <row r="228" spans="5:9" x14ac:dyDescent="0.55000000000000004">
      <c r="E228" s="1">
        <v>49.25</v>
      </c>
      <c r="F228">
        <v>1</v>
      </c>
      <c r="G228" s="4">
        <f t="shared" si="12"/>
        <v>0.31679771749187524</v>
      </c>
      <c r="H228" s="4">
        <f t="shared" si="13"/>
        <v>0.26697703150819407</v>
      </c>
      <c r="I228" s="3">
        <v>5.2759138323030891E-2</v>
      </c>
    </row>
    <row r="229" spans="5:9" x14ac:dyDescent="0.55000000000000004">
      <c r="E229" s="1">
        <v>49.5</v>
      </c>
      <c r="F229">
        <v>1</v>
      </c>
      <c r="G229" s="4">
        <f t="shared" si="12"/>
        <v>0.31544744287551318</v>
      </c>
      <c r="H229" s="4">
        <f t="shared" si="13"/>
        <v>0.26637953179589147</v>
      </c>
      <c r="I229" s="3">
        <v>5.2768995199947828E-2</v>
      </c>
    </row>
    <row r="230" spans="5:9" x14ac:dyDescent="0.55000000000000004">
      <c r="E230" s="1">
        <v>49.75</v>
      </c>
      <c r="F230">
        <v>1</v>
      </c>
      <c r="G230" s="4">
        <f t="shared" si="12"/>
        <v>0.3141069847207375</v>
      </c>
      <c r="H230" s="4">
        <f t="shared" si="13"/>
        <v>0.26578047435301005</v>
      </c>
      <c r="I230" s="3">
        <v>5.2778544356101964E-2</v>
      </c>
    </row>
    <row r="231" spans="5:9" x14ac:dyDescent="0.55000000000000004">
      <c r="E231" s="1">
        <v>50</v>
      </c>
      <c r="F231">
        <v>1</v>
      </c>
      <c r="G231" s="4">
        <f t="shared" si="12"/>
        <v>0.31277625222084388</v>
      </c>
      <c r="H231" s="4">
        <f t="shared" si="13"/>
        <v>0.26517994023331354</v>
      </c>
      <c r="I231" s="3">
        <v>5.2787791303811449E-2</v>
      </c>
    </row>
  </sheetData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2:R231"/>
  <sheetViews>
    <sheetView topLeftCell="E21" workbookViewId="0">
      <selection activeCell="U40" sqref="U40"/>
    </sheetView>
  </sheetViews>
  <sheetFormatPr defaultRowHeight="14.4" x14ac:dyDescent="0.55000000000000004"/>
  <cols>
    <col min="1" max="1" width="2.15625" customWidth="1"/>
    <col min="2" max="2" width="12.68359375" bestFit="1" customWidth="1"/>
    <col min="3" max="3" width="12.83984375" customWidth="1"/>
    <col min="4" max="4" width="2.15625" customWidth="1"/>
    <col min="6" max="8" width="10" customWidth="1"/>
    <col min="9" max="9" width="9.68359375" customWidth="1"/>
    <col min="14" max="14" width="8.68359375" customWidth="1"/>
    <col min="16" max="16" width="10.68359375" customWidth="1"/>
    <col min="17" max="17" width="12.41796875" bestFit="1" customWidth="1"/>
    <col min="18" max="18" width="11.578125" bestFit="1" customWidth="1"/>
    <col min="23" max="23" width="10.26171875" customWidth="1"/>
  </cols>
  <sheetData>
    <row r="2" spans="4:4" x14ac:dyDescent="0.55000000000000004">
      <c r="D2" s="5"/>
    </row>
    <row r="3" spans="4:4" x14ac:dyDescent="0.55000000000000004">
      <c r="D3" s="5"/>
    </row>
    <row r="4" spans="4:4" x14ac:dyDescent="0.55000000000000004">
      <c r="D4" s="5"/>
    </row>
    <row r="5" spans="4:4" x14ac:dyDescent="0.55000000000000004">
      <c r="D5" s="5"/>
    </row>
    <row r="30" spans="2:9" x14ac:dyDescent="0.55000000000000004">
      <c r="B30" t="s">
        <v>0</v>
      </c>
      <c r="C30" s="5">
        <v>0.4</v>
      </c>
      <c r="E30" s="6" t="s">
        <v>1</v>
      </c>
      <c r="F30" s="6" t="s">
        <v>2</v>
      </c>
      <c r="G30" s="6" t="s">
        <v>3</v>
      </c>
      <c r="H30" s="6" t="s">
        <v>4</v>
      </c>
      <c r="I30" s="6" t="s">
        <v>8</v>
      </c>
    </row>
    <row r="31" spans="2:9" x14ac:dyDescent="0.55000000000000004">
      <c r="B31" t="s">
        <v>19</v>
      </c>
      <c r="C31" s="5">
        <v>5.3155361634623657E-2</v>
      </c>
      <c r="E31">
        <v>0</v>
      </c>
      <c r="F31">
        <v>1</v>
      </c>
      <c r="G31">
        <v>1</v>
      </c>
      <c r="H31">
        <v>0</v>
      </c>
      <c r="I31" s="3">
        <f t="array" ref="I31:I231">MMULT(F31:H231,C31:C33)</f>
        <v>4.4129983711622106E-2</v>
      </c>
    </row>
    <row r="32" spans="2:9" x14ac:dyDescent="0.55000000000000004">
      <c r="B32" t="s">
        <v>20</v>
      </c>
      <c r="C32" s="5">
        <v>-9.025377923001553E-3</v>
      </c>
      <c r="E32" s="1">
        <v>0.25</v>
      </c>
      <c r="F32">
        <v>1</v>
      </c>
      <c r="G32" s="4">
        <f t="shared" ref="G32:G63" si="0">IF(lambda=0,1,(1-EXP(-lambda*$E32))/(lambda*$E32))</f>
        <v>0.95162581964040482</v>
      </c>
      <c r="H32" s="4">
        <f t="shared" ref="H32:H63" si="1">G32-EXP(-lambda*$E32)</f>
        <v>4.6788401604445307E-2</v>
      </c>
      <c r="I32" s="3">
        <v>4.3236207634763803E-2</v>
      </c>
    </row>
    <row r="33" spans="2:18" x14ac:dyDescent="0.55000000000000004">
      <c r="B33" t="s">
        <v>21</v>
      </c>
      <c r="C33" s="5">
        <v>-2.8433784670957678E-2</v>
      </c>
      <c r="E33" s="1">
        <v>0.5</v>
      </c>
      <c r="F33">
        <v>1</v>
      </c>
      <c r="G33" s="4">
        <f t="shared" si="0"/>
        <v>0.9063462346100909</v>
      </c>
      <c r="H33" s="4">
        <f t="shared" si="1"/>
        <v>8.7615481532109074E-2</v>
      </c>
      <c r="I33" s="3">
        <v>4.24840046024519E-2</v>
      </c>
    </row>
    <row r="34" spans="2:18" x14ac:dyDescent="0.55000000000000004">
      <c r="C34" s="5"/>
      <c r="E34" s="1">
        <v>0.75</v>
      </c>
      <c r="F34">
        <v>1</v>
      </c>
      <c r="G34" s="4">
        <f t="shared" si="0"/>
        <v>0.8639392643942736</v>
      </c>
      <c r="H34" s="4">
        <f t="shared" si="1"/>
        <v>0.12312104371255572</v>
      </c>
      <c r="I34" s="3">
        <v>4.1857186025559004E-2</v>
      </c>
    </row>
    <row r="35" spans="2:18" x14ac:dyDescent="0.55000000000000004">
      <c r="E35" s="1">
        <v>1</v>
      </c>
      <c r="F35">
        <v>1</v>
      </c>
      <c r="G35" s="4">
        <f t="shared" si="0"/>
        <v>0.82419988491090168</v>
      </c>
      <c r="H35" s="4">
        <f t="shared" si="1"/>
        <v>0.15387983887526235</v>
      </c>
      <c r="I35" s="3">
        <v>4.1341259985427509E-2</v>
      </c>
    </row>
    <row r="36" spans="2:18" x14ac:dyDescent="0.55000000000000004">
      <c r="E36" s="1">
        <v>1.25</v>
      </c>
      <c r="F36">
        <v>1</v>
      </c>
      <c r="G36" s="4">
        <f t="shared" si="0"/>
        <v>0.78693868057473315</v>
      </c>
      <c r="H36" s="4">
        <f t="shared" si="1"/>
        <v>0.18040802086209973</v>
      </c>
      <c r="I36" s="3">
        <v>4.0923259822101904E-2</v>
      </c>
    </row>
    <row r="37" spans="2:18" x14ac:dyDescent="0.55000000000000004">
      <c r="E37" s="1">
        <v>1.5</v>
      </c>
      <c r="F37">
        <v>1</v>
      </c>
      <c r="G37" s="4">
        <f t="shared" si="0"/>
        <v>0.75198060650995591</v>
      </c>
      <c r="H37" s="4">
        <f t="shared" si="1"/>
        <v>0.20316897041592952</v>
      </c>
      <c r="I37" s="3">
        <v>4.0591589713476671E-2</v>
      </c>
      <c r="L37" s="15" t="s">
        <v>10</v>
      </c>
      <c r="M37" s="16"/>
      <c r="O37" s="9" t="s">
        <v>13</v>
      </c>
      <c r="P37" s="10">
        <v>1</v>
      </c>
      <c r="Q37" s="8" t="s">
        <v>15</v>
      </c>
      <c r="R37" s="14">
        <f>SUMXMY2(P39:P42,R39:R42)</f>
        <v>3.7588951856983169E-7</v>
      </c>
    </row>
    <row r="38" spans="2:18" x14ac:dyDescent="0.55000000000000004">
      <c r="E38" s="1">
        <v>1.75</v>
      </c>
      <c r="F38">
        <v>1</v>
      </c>
      <c r="G38" s="4">
        <f t="shared" si="0"/>
        <v>0.71916385172655795</v>
      </c>
      <c r="H38" s="4">
        <f t="shared" si="1"/>
        <v>0.22257854793514847</v>
      </c>
      <c r="I38" s="3">
        <v>4.0335885579867579E-2</v>
      </c>
      <c r="L38" t="s">
        <v>9</v>
      </c>
      <c r="M38" t="s">
        <v>8</v>
      </c>
      <c r="O38" t="s">
        <v>9</v>
      </c>
      <c r="P38" t="s">
        <v>11</v>
      </c>
      <c r="Q38" s="10" t="s">
        <v>14</v>
      </c>
      <c r="R38" t="s">
        <v>12</v>
      </c>
    </row>
    <row r="39" spans="2:18" x14ac:dyDescent="0.55000000000000004">
      <c r="E39" s="1">
        <v>2</v>
      </c>
      <c r="F39">
        <v>1</v>
      </c>
      <c r="G39" s="4">
        <f t="shared" si="0"/>
        <v>0.68833879485347305</v>
      </c>
      <c r="H39" s="4">
        <f t="shared" si="1"/>
        <v>0.23900983073625148</v>
      </c>
      <c r="I39" s="3">
        <v>4.0146889810611007E-2</v>
      </c>
      <c r="L39" s="1">
        <v>0.25</v>
      </c>
      <c r="M39" s="2">
        <v>5.0000000000000001E-4</v>
      </c>
      <c r="O39" s="1">
        <v>0.25</v>
      </c>
      <c r="P39" s="7">
        <f>IF($P$37=1,Q39,LOOKUP(O39,$L$39:$L$99,$M$39:$M$99))</f>
        <v>4.3400000000000001E-2</v>
      </c>
      <c r="Q39" s="11">
        <v>4.3400000000000001E-2</v>
      </c>
      <c r="R39" s="7">
        <f>LOOKUP(O39,$E$31:$E$231,$I$31:$I$231)</f>
        <v>4.3236207634763803E-2</v>
      </c>
    </row>
    <row r="40" spans="2:18" x14ac:dyDescent="0.55000000000000004">
      <c r="E40" s="1">
        <v>2.25</v>
      </c>
      <c r="F40">
        <v>1</v>
      </c>
      <c r="G40" s="4">
        <f t="shared" si="0"/>
        <v>0.65936704473266761</v>
      </c>
      <c r="H40" s="4">
        <f t="shared" si="1"/>
        <v>0.2527973849920685</v>
      </c>
      <c r="I40" s="3">
        <v>4.0016338455692996E-2</v>
      </c>
      <c r="L40" s="1">
        <v>0.5</v>
      </c>
      <c r="M40" s="2">
        <v>1.1000000000000001E-3</v>
      </c>
      <c r="O40" s="1">
        <v>2</v>
      </c>
      <c r="P40" s="7">
        <f t="shared" ref="P40:P41" si="2">IF($P$37=1,Q40,LOOKUP(O40,$L$39:$L$99,$M$39:$M$99))</f>
        <v>3.9800000000000002E-2</v>
      </c>
      <c r="Q40" s="12">
        <v>3.9800000000000002E-2</v>
      </c>
      <c r="R40" s="7">
        <f t="shared" ref="R40:R42" si="3">LOOKUP(O40,$E$31:$E$231,$I$31:$I$231)</f>
        <v>4.0146889810611007E-2</v>
      </c>
    </row>
    <row r="41" spans="2:18" x14ac:dyDescent="0.55000000000000004">
      <c r="E41" s="1">
        <v>2.5</v>
      </c>
      <c r="F41">
        <v>1</v>
      </c>
      <c r="G41" s="4">
        <f t="shared" si="0"/>
        <v>0.63212055882855767</v>
      </c>
      <c r="H41" s="4">
        <f t="shared" si="1"/>
        <v>0.26424111765711533</v>
      </c>
      <c r="I41" s="3">
        <v>3.9936859657621379E-2</v>
      </c>
      <c r="L41" s="1">
        <v>1</v>
      </c>
      <c r="M41" s="2">
        <v>1.6000000000000001E-3</v>
      </c>
      <c r="O41" s="1">
        <v>10</v>
      </c>
      <c r="P41" s="7">
        <f t="shared" si="2"/>
        <v>4.4900000000000002E-2</v>
      </c>
      <c r="Q41" s="12">
        <v>4.4900000000000002E-2</v>
      </c>
      <c r="R41" s="7">
        <f t="shared" si="3"/>
        <v>4.4482876042193469E-2</v>
      </c>
    </row>
    <row r="42" spans="2:18" x14ac:dyDescent="0.55000000000000004">
      <c r="E42" s="1">
        <v>2.75</v>
      </c>
      <c r="F42">
        <v>1</v>
      </c>
      <c r="G42" s="4">
        <f t="shared" si="0"/>
        <v>0.60648083300174582</v>
      </c>
      <c r="H42" s="4">
        <f t="shared" si="1"/>
        <v>0.27360974930366627</v>
      </c>
      <c r="I42" s="3">
        <v>3.9901882218150955E-2</v>
      </c>
      <c r="L42" s="1">
        <v>1.5</v>
      </c>
      <c r="M42" s="2">
        <v>2E-3</v>
      </c>
      <c r="O42" s="1">
        <v>30</v>
      </c>
      <c r="P42" s="7">
        <f>IF($P$37=1,Q42,LOOKUP(O42,$L$39:$L$99,$M$39:$M$99))</f>
        <v>4.9799999999999997E-2</v>
      </c>
      <c r="Q42" s="13">
        <v>4.9799999999999997E-2</v>
      </c>
      <c r="R42" s="7">
        <f t="shared" si="3"/>
        <v>5.0033958634758874E-2</v>
      </c>
    </row>
    <row r="43" spans="2:18" x14ac:dyDescent="0.55000000000000004">
      <c r="E43" s="1">
        <v>3</v>
      </c>
      <c r="F43">
        <v>1</v>
      </c>
      <c r="G43" s="4">
        <f t="shared" si="0"/>
        <v>0.58233815673983158</v>
      </c>
      <c r="H43" s="4">
        <f t="shared" si="1"/>
        <v>0.28114394482762955</v>
      </c>
      <c r="I43" s="3">
        <v>3.9905553302290141E-2</v>
      </c>
      <c r="L43" s="1">
        <v>2</v>
      </c>
      <c r="M43" s="2">
        <v>2.5000000000000001E-3</v>
      </c>
    </row>
    <row r="44" spans="2:18" x14ac:dyDescent="0.55000000000000004">
      <c r="E44" s="1">
        <v>3.25</v>
      </c>
      <c r="F44">
        <v>1</v>
      </c>
      <c r="G44" s="4">
        <f t="shared" si="0"/>
        <v>0.55959092843537495</v>
      </c>
      <c r="H44" s="4">
        <f t="shared" si="1"/>
        <v>0.28705913540136235</v>
      </c>
      <c r="I44" s="3">
        <v>3.9942664379377463E-2</v>
      </c>
      <c r="L44" s="1">
        <v>2.5</v>
      </c>
      <c r="M44" s="2">
        <v>3.0999999999999999E-3</v>
      </c>
      <c r="O44" t="s">
        <v>23</v>
      </c>
    </row>
    <row r="45" spans="2:18" x14ac:dyDescent="0.55000000000000004">
      <c r="E45" s="1">
        <v>3.5</v>
      </c>
      <c r="F45">
        <v>1</v>
      </c>
      <c r="G45" s="4">
        <f t="shared" si="0"/>
        <v>0.53814502575599532</v>
      </c>
      <c r="H45" s="4">
        <f t="shared" si="1"/>
        <v>0.29154806181438886</v>
      </c>
      <c r="I45" s="3">
        <v>4.0008584588927004E-2</v>
      </c>
      <c r="L45" s="1">
        <v>3</v>
      </c>
      <c r="M45" s="2">
        <v>3.5999999999999999E-3</v>
      </c>
      <c r="O45" t="s">
        <v>24</v>
      </c>
    </row>
    <row r="46" spans="2:18" x14ac:dyDescent="0.55000000000000004">
      <c r="E46" s="1">
        <v>3.75</v>
      </c>
      <c r="F46">
        <v>1</v>
      </c>
      <c r="G46" s="4">
        <f t="shared" si="0"/>
        <v>0.51791322656771344</v>
      </c>
      <c r="H46" s="4">
        <f t="shared" si="1"/>
        <v>0.29478306641928365</v>
      </c>
      <c r="I46" s="3">
        <v>4.0099200798318385E-2</v>
      </c>
      <c r="L46" s="1">
        <v>3.5</v>
      </c>
      <c r="M46" s="2">
        <v>4.4999999999999997E-3</v>
      </c>
      <c r="O46" t="s">
        <v>22</v>
      </c>
    </row>
    <row r="47" spans="2:18" x14ac:dyDescent="0.55000000000000004">
      <c r="E47" s="1">
        <v>4</v>
      </c>
      <c r="F47">
        <v>1</v>
      </c>
      <c r="G47" s="4">
        <f t="shared" si="0"/>
        <v>0.49881467625334036</v>
      </c>
      <c r="H47" s="4">
        <f t="shared" si="1"/>
        <v>0.29691815825868495</v>
      </c>
      <c r="I47" s="3">
        <v>4.021086369107281E-2</v>
      </c>
      <c r="L47" s="1">
        <v>4</v>
      </c>
      <c r="M47" s="2">
        <v>5.4000000000000003E-3</v>
      </c>
    </row>
    <row r="48" spans="2:18" x14ac:dyDescent="0.55000000000000004">
      <c r="E48" s="1">
        <v>4.25</v>
      </c>
      <c r="F48">
        <v>1</v>
      </c>
      <c r="G48" s="4">
        <f t="shared" si="0"/>
        <v>0.48077439761603841</v>
      </c>
      <c r="H48" s="4">
        <f t="shared" si="1"/>
        <v>0.29809087356330377</v>
      </c>
      <c r="I48" s="3">
        <v>4.0340339289158846E-2</v>
      </c>
      <c r="L48" s="1">
        <v>4.5</v>
      </c>
      <c r="M48" s="2">
        <v>6.3E-3</v>
      </c>
      <c r="O48" t="s">
        <v>25</v>
      </c>
    </row>
    <row r="49" spans="5:13" x14ac:dyDescent="0.55000000000000004">
      <c r="E49" s="1">
        <v>4.5</v>
      </c>
      <c r="F49">
        <v>1</v>
      </c>
      <c r="G49" s="4">
        <f t="shared" si="0"/>
        <v>0.46372283987689633</v>
      </c>
      <c r="H49" s="4">
        <f t="shared" si="1"/>
        <v>0.29842395165530977</v>
      </c>
      <c r="I49" s="3">
        <v>4.048476537118377E-2</v>
      </c>
      <c r="L49" s="1">
        <v>5</v>
      </c>
      <c r="M49" s="2">
        <v>7.1999999999999998E-3</v>
      </c>
    </row>
    <row r="50" spans="5:13" x14ac:dyDescent="0.55000000000000004">
      <c r="E50" s="1">
        <v>4.75</v>
      </c>
      <c r="F50">
        <v>1</v>
      </c>
      <c r="G50" s="4">
        <f t="shared" si="0"/>
        <v>0.44759546356703411</v>
      </c>
      <c r="H50" s="4">
        <f t="shared" si="1"/>
        <v>0.29802684434439908</v>
      </c>
      <c r="I50" s="3">
        <v>4.0641612301056437E-2</v>
      </c>
      <c r="L50" s="1">
        <v>5.5</v>
      </c>
      <c r="M50" s="2">
        <v>8.3999999999999995E-3</v>
      </c>
    </row>
    <row r="51" spans="5:13" x14ac:dyDescent="0.55000000000000004">
      <c r="E51" s="1">
        <v>5</v>
      </c>
      <c r="F51">
        <v>1</v>
      </c>
      <c r="G51" s="4">
        <f t="shared" si="0"/>
        <v>0.43233235838169365</v>
      </c>
      <c r="H51" s="4">
        <f t="shared" si="1"/>
        <v>0.29699707514508095</v>
      </c>
      <c r="I51" s="3">
        <v>4.0808647829306856E-2</v>
      </c>
      <c r="L51" s="1">
        <v>6</v>
      </c>
      <c r="M51" s="2">
        <v>9.5999999999999992E-3</v>
      </c>
    </row>
    <row r="52" spans="5:13" x14ac:dyDescent="0.55000000000000004">
      <c r="E52" s="1">
        <v>5.25</v>
      </c>
      <c r="F52">
        <v>1</v>
      </c>
      <c r="G52" s="4">
        <f t="shared" si="0"/>
        <v>0.41787789130810388</v>
      </c>
      <c r="H52" s="4">
        <f t="shared" si="1"/>
        <v>0.29542146305512196</v>
      </c>
      <c r="I52" s="3">
        <v>4.0983905472212437E-2</v>
      </c>
      <c r="L52" s="1">
        <v>6.5</v>
      </c>
      <c r="M52" s="2">
        <v>1.0800000000000001E-2</v>
      </c>
    </row>
    <row r="53" spans="5:13" x14ac:dyDescent="0.55000000000000004">
      <c r="E53" s="1">
        <v>5.5</v>
      </c>
      <c r="F53">
        <v>1</v>
      </c>
      <c r="G53" s="4">
        <f t="shared" si="0"/>
        <v>0.40418038256257549</v>
      </c>
      <c r="H53" s="4">
        <f t="shared" si="1"/>
        <v>0.29337722420024159</v>
      </c>
      <c r="I53" s="3">
        <v>4.1165656112660119E-2</v>
      </c>
      <c r="L53" s="1">
        <v>7</v>
      </c>
      <c r="M53" s="2">
        <v>1.2E-2</v>
      </c>
    </row>
    <row r="54" spans="5:13" x14ac:dyDescent="0.55000000000000004">
      <c r="E54" s="1">
        <v>5.75</v>
      </c>
      <c r="F54">
        <v>1</v>
      </c>
      <c r="G54" s="4">
        <f t="shared" si="0"/>
        <v>0.39119180707704182</v>
      </c>
      <c r="H54" s="4">
        <f t="shared" si="1"/>
        <v>0.29093296335423813</v>
      </c>
      <c r="I54" s="3">
        <v>4.1352382501673411E-2</v>
      </c>
      <c r="L54" s="1">
        <v>7.5</v>
      </c>
      <c r="M54" s="2">
        <v>1.2999999999999999E-2</v>
      </c>
    </row>
    <row r="55" spans="5:13" x14ac:dyDescent="0.55000000000000004">
      <c r="E55" s="1">
        <v>6</v>
      </c>
      <c r="F55">
        <v>1</v>
      </c>
      <c r="G55" s="4">
        <f t="shared" si="0"/>
        <v>0.37886751946274477</v>
      </c>
      <c r="H55" s="4">
        <f t="shared" si="1"/>
        <v>0.28814956617333232</v>
      </c>
      <c r="I55" s="3">
        <v>4.1542756371119836E-2</v>
      </c>
      <c r="L55" s="1">
        <v>8</v>
      </c>
      <c r="M55" s="2">
        <v>1.41E-2</v>
      </c>
    </row>
    <row r="56" spans="5:13" x14ac:dyDescent="0.55000000000000004">
      <c r="E56" s="1">
        <v>6.25</v>
      </c>
      <c r="F56">
        <v>1</v>
      </c>
      <c r="G56" s="4">
        <f t="shared" si="0"/>
        <v>0.36716600055044046</v>
      </c>
      <c r="H56" s="4">
        <f t="shared" si="1"/>
        <v>0.28508100192654168</v>
      </c>
      <c r="I56" s="3">
        <v>4.1735617896618782E-2</v>
      </c>
      <c r="L56" s="1">
        <v>8.5</v>
      </c>
      <c r="M56" s="2">
        <v>1.5100000000000001E-2</v>
      </c>
    </row>
    <row r="57" spans="5:13" x14ac:dyDescent="0.55000000000000004">
      <c r="E57" s="1">
        <v>6.5</v>
      </c>
      <c r="F57">
        <v>1</v>
      </c>
      <c r="G57" s="4">
        <f t="shared" si="0"/>
        <v>0.35604862376371771</v>
      </c>
      <c r="H57" s="4">
        <f t="shared" si="1"/>
        <v>0.28177504554938382</v>
      </c>
      <c r="I57" s="3">
        <v>4.1929957275391047E-2</v>
      </c>
      <c r="L57" s="1">
        <v>9</v>
      </c>
      <c r="M57" s="2">
        <v>1.6199999999999999E-2</v>
      </c>
    </row>
    <row r="58" spans="5:13" x14ac:dyDescent="0.55000000000000004">
      <c r="E58" s="1">
        <v>6.75</v>
      </c>
      <c r="F58">
        <v>1</v>
      </c>
      <c r="G58" s="4">
        <f t="shared" si="0"/>
        <v>0.34547943972601858</v>
      </c>
      <c r="H58" s="4">
        <f t="shared" si="1"/>
        <v>0.27827392698626885</v>
      </c>
      <c r="I58" s="3">
        <v>4.212489820700014E-2</v>
      </c>
      <c r="L58" s="1">
        <v>9.5</v>
      </c>
      <c r="M58" s="2">
        <v>1.7299999999999999E-2</v>
      </c>
    </row>
    <row r="59" spans="5:13" x14ac:dyDescent="0.55000000000000004">
      <c r="E59" s="1">
        <v>7</v>
      </c>
      <c r="F59">
        <v>1</v>
      </c>
      <c r="G59" s="4">
        <f t="shared" si="0"/>
        <v>0.33542497763385071</v>
      </c>
      <c r="H59" s="4">
        <f t="shared" si="1"/>
        <v>0.27461491500863278</v>
      </c>
      <c r="I59" s="3">
        <v>4.2319683085874998E-2</v>
      </c>
      <c r="L59" s="1">
        <v>10</v>
      </c>
      <c r="M59" s="2">
        <v>1.84E-2</v>
      </c>
    </row>
    <row r="60" spans="5:13" x14ac:dyDescent="0.55000000000000004">
      <c r="E60" s="1">
        <v>7.25</v>
      </c>
      <c r="F60">
        <v>1</v>
      </c>
      <c r="G60" s="4">
        <f t="shared" si="0"/>
        <v>0.32585406204951473</v>
      </c>
      <c r="H60" s="4">
        <f t="shared" si="1"/>
        <v>0.27083084199310753</v>
      </c>
      <c r="I60" s="3">
        <v>4.2513659733395409E-2</v>
      </c>
      <c r="L60" s="1">
        <v>10.5</v>
      </c>
      <c r="M60" s="2">
        <v>1.8800000000000001E-2</v>
      </c>
    </row>
    <row r="61" spans="5:13" x14ac:dyDescent="0.55000000000000004">
      <c r="E61" s="1">
        <v>7.5</v>
      </c>
      <c r="F61">
        <v>1</v>
      </c>
      <c r="G61" s="4">
        <f t="shared" si="0"/>
        <v>0.31673764387737868</v>
      </c>
      <c r="H61" s="4">
        <f t="shared" si="1"/>
        <v>0.26695057550951473</v>
      </c>
      <c r="I61" s="3">
        <v>4.2706269514363467E-2</v>
      </c>
      <c r="L61" s="1">
        <v>11</v>
      </c>
      <c r="M61" s="2">
        <v>1.9199999999999998E-2</v>
      </c>
    </row>
    <row r="62" spans="5:13" x14ac:dyDescent="0.55000000000000004">
      <c r="E62" s="1">
        <v>7.75</v>
      </c>
      <c r="F62">
        <v>1</v>
      </c>
      <c r="G62" s="4">
        <f t="shared" si="0"/>
        <v>0.3080486443891749</v>
      </c>
      <c r="H62" s="4">
        <f t="shared" si="1"/>
        <v>0.26299944199561709</v>
      </c>
      <c r="I62" s="3">
        <v>4.2897036698057646E-2</v>
      </c>
      <c r="L62" s="1">
        <v>11.5</v>
      </c>
      <c r="M62" s="2">
        <v>1.9599999999999999E-2</v>
      </c>
    </row>
    <row r="63" spans="5:13" x14ac:dyDescent="0.55000000000000004">
      <c r="E63" s="1">
        <v>8</v>
      </c>
      <c r="F63">
        <v>1</v>
      </c>
      <c r="G63" s="4">
        <f t="shared" si="0"/>
        <v>0.29976181125676055</v>
      </c>
      <c r="H63" s="4">
        <f t="shared" si="1"/>
        <v>0.25899960727839433</v>
      </c>
      <c r="I63" s="3">
        <v>4.3085558937931465E-2</v>
      </c>
      <c r="L63" s="1">
        <v>12</v>
      </c>
      <c r="M63" s="2">
        <v>0.02</v>
      </c>
    </row>
    <row r="64" spans="5:13" x14ac:dyDescent="0.55000000000000004">
      <c r="E64" s="1">
        <v>8.25</v>
      </c>
      <c r="F64">
        <v>1</v>
      </c>
      <c r="G64" s="4">
        <f t="shared" ref="G64:G95" si="4">IF(lambda=0,1,(1-EXP(-lambda*$E64))/(lambda*$E64))</f>
        <v>0.29185358563598784</v>
      </c>
      <c r="H64" s="4">
        <f t="shared" ref="H64:H95" si="5">G64-EXP(-lambda*$E64)</f>
        <v>0.25497041823474786</v>
      </c>
      <c r="I64" s="3">
        <v>4.3271498756524925E-2</v>
      </c>
      <c r="L64" s="1">
        <v>12.5</v>
      </c>
      <c r="M64" s="2">
        <v>2.0400000000000001E-2</v>
      </c>
    </row>
    <row r="65" spans="5:13" x14ac:dyDescent="0.55000000000000004">
      <c r="E65" s="1">
        <v>8.5</v>
      </c>
      <c r="F65">
        <v>1</v>
      </c>
      <c r="G65" s="4">
        <f t="shared" si="4"/>
        <v>0.28430197942343349</v>
      </c>
      <c r="H65" s="4">
        <f t="shared" si="5"/>
        <v>0.25092870946310741</v>
      </c>
      <c r="I65" s="3">
        <v>4.3454575933434464E-2</v>
      </c>
      <c r="L65" s="1">
        <v>13</v>
      </c>
      <c r="M65" s="2">
        <v>2.0799999999999999E-2</v>
      </c>
    </row>
    <row r="66" spans="5:13" x14ac:dyDescent="0.55000000000000004">
      <c r="E66" s="1">
        <v>8.75</v>
      </c>
      <c r="F66">
        <v>1</v>
      </c>
      <c r="G66" s="4">
        <f t="shared" si="4"/>
        <v>0.27708646187933755</v>
      </c>
      <c r="H66" s="4">
        <f t="shared" si="5"/>
        <v>0.24688907845701905</v>
      </c>
      <c r="I66" s="3">
        <v>4.3634560704357221E-2</v>
      </c>
      <c r="L66" s="1">
        <v>13.5</v>
      </c>
      <c r="M66" s="2">
        <v>2.12E-2</v>
      </c>
    </row>
    <row r="67" spans="5:13" x14ac:dyDescent="0.55000000000000004">
      <c r="E67" s="1">
        <v>9</v>
      </c>
      <c r="F67">
        <v>1</v>
      </c>
      <c r="G67" s="4">
        <f t="shared" si="4"/>
        <v>0.27018785487575209</v>
      </c>
      <c r="H67" s="4">
        <f t="shared" si="5"/>
        <v>0.24286413242845953</v>
      </c>
      <c r="I67" s="3">
        <v>4.3811267688395134E-2</v>
      </c>
      <c r="L67" s="1">
        <v>14</v>
      </c>
      <c r="M67" s="2">
        <v>2.1600000000000001E-2</v>
      </c>
    </row>
    <row r="68" spans="5:13" x14ac:dyDescent="0.55000000000000004">
      <c r="E68" s="1">
        <v>9.25</v>
      </c>
      <c r="F68">
        <v>1</v>
      </c>
      <c r="G68" s="4">
        <f t="shared" si="4"/>
        <v>0.26358823608909743</v>
      </c>
      <c r="H68" s="4">
        <f t="shared" si="5"/>
        <v>0.23886470961875805</v>
      </c>
      <c r="I68" s="3">
        <v>4.3984550469071598E-2</v>
      </c>
      <c r="L68" s="1">
        <v>14.5</v>
      </c>
      <c r="M68" s="2">
        <v>2.2100000000000002E-2</v>
      </c>
    </row>
    <row r="69" spans="5:13" x14ac:dyDescent="0.55000000000000004">
      <c r="E69" s="1">
        <v>9.5</v>
      </c>
      <c r="F69">
        <v>1</v>
      </c>
      <c r="G69" s="4">
        <f t="shared" si="4"/>
        <v>0.25727084951153539</v>
      </c>
      <c r="H69" s="4">
        <f t="shared" si="5"/>
        <v>0.2349000776553698</v>
      </c>
      <c r="I69" s="3">
        <v>4.4154296761966368E-2</v>
      </c>
      <c r="L69" s="1">
        <v>15</v>
      </c>
      <c r="M69" s="2">
        <v>2.2499999999999999E-2</v>
      </c>
    </row>
    <row r="70" spans="5:13" x14ac:dyDescent="0.55000000000000004">
      <c r="E70" s="1">
        <v>9.75</v>
      </c>
      <c r="F70">
        <v>1</v>
      </c>
      <c r="G70" s="4">
        <f t="shared" si="4"/>
        <v>0.25122002270620397</v>
      </c>
      <c r="H70" s="4">
        <f t="shared" si="5"/>
        <v>0.23097811126039958</v>
      </c>
      <c r="I70" s="3">
        <v>4.4320424108592431E-2</v>
      </c>
      <c r="L70" s="1">
        <v>15.5</v>
      </c>
      <c r="M70" s="2">
        <v>2.29E-2</v>
      </c>
    </row>
    <row r="71" spans="5:13" x14ac:dyDescent="0.55000000000000004">
      <c r="E71" s="1">
        <v>10</v>
      </c>
      <c r="F71">
        <v>1</v>
      </c>
      <c r="G71" s="4">
        <f t="shared" si="4"/>
        <v>0.24542109027781644</v>
      </c>
      <c r="H71" s="4">
        <f t="shared" si="5"/>
        <v>0.22710545138908228</v>
      </c>
      <c r="I71" s="3">
        <v>4.4482876042193469E-2</v>
      </c>
      <c r="L71" s="1">
        <v>16</v>
      </c>
      <c r="M71" s="2">
        <v>2.3400000000000001E-2</v>
      </c>
    </row>
    <row r="72" spans="5:13" x14ac:dyDescent="0.55000000000000004">
      <c r="E72" s="1">
        <v>10.25</v>
      </c>
      <c r="F72">
        <v>1</v>
      </c>
      <c r="G72" s="4">
        <f t="shared" si="4"/>
        <v>0.23986032307274113</v>
      </c>
      <c r="H72" s="4">
        <f t="shared" si="5"/>
        <v>0.22328764767097989</v>
      </c>
      <c r="I72" s="3">
        <v>4.4641618676597612E-2</v>
      </c>
      <c r="L72" s="1">
        <v>16.5</v>
      </c>
      <c r="M72" s="2">
        <v>2.3800000000000002E-2</v>
      </c>
    </row>
    <row r="73" spans="5:13" x14ac:dyDescent="0.55000000000000004">
      <c r="E73" s="1">
        <v>10.5</v>
      </c>
      <c r="F73">
        <v>1</v>
      </c>
      <c r="G73" s="4">
        <f t="shared" si="4"/>
        <v>0.23452486266179101</v>
      </c>
      <c r="H73" s="4">
        <f t="shared" si="5"/>
        <v>0.21952928584131332</v>
      </c>
      <c r="I73" s="3">
        <v>4.4796637674179934E-2</v>
      </c>
      <c r="L73" s="1">
        <v>17</v>
      </c>
      <c r="M73" s="2">
        <v>2.4299999999999999E-2</v>
      </c>
    </row>
    <row r="74" spans="5:13" x14ac:dyDescent="0.55000000000000004">
      <c r="E74" s="1">
        <v>10.75</v>
      </c>
      <c r="F74">
        <v>1</v>
      </c>
      <c r="G74" s="4">
        <f t="shared" si="4"/>
        <v>0.229402660694837</v>
      </c>
      <c r="H74" s="4">
        <f t="shared" si="5"/>
        <v>0.21583410168263606</v>
      </c>
      <c r="I74" s="3">
        <v>4.4947935553417001E-2</v>
      </c>
      <c r="L74" s="1">
        <v>17.5</v>
      </c>
      <c r="M74" s="2">
        <v>2.47E-2</v>
      </c>
    </row>
    <row r="75" spans="5:13" x14ac:dyDescent="0.55000000000000004">
      <c r="E75" s="1">
        <v>11</v>
      </c>
      <c r="F75">
        <v>1</v>
      </c>
      <c r="G75" s="4">
        <f t="shared" si="4"/>
        <v>0.22448242274930261</v>
      </c>
      <c r="H75" s="4">
        <f t="shared" si="5"/>
        <v>0.21220508284623418</v>
      </c>
      <c r="I75" s="3">
        <v>4.5095529300507642E-2</v>
      </c>
      <c r="L75" s="1">
        <v>18</v>
      </c>
      <c r="M75" s="2">
        <v>2.52E-2</v>
      </c>
    </row>
    <row r="76" spans="5:13" x14ac:dyDescent="0.55000000000000004">
      <c r="E76" s="1">
        <v>11.25</v>
      </c>
      <c r="F76">
        <v>1</v>
      </c>
      <c r="G76" s="4">
        <f t="shared" si="4"/>
        <v>0.21975355632483506</v>
      </c>
      <c r="H76" s="4">
        <f t="shared" si="5"/>
        <v>0.20864455978659277</v>
      </c>
      <c r="I76" s="3">
        <v>4.5239448253129678E-2</v>
      </c>
      <c r="L76" s="1">
        <v>18.5</v>
      </c>
      <c r="M76" s="2">
        <v>2.5700000000000001E-2</v>
      </c>
    </row>
    <row r="77" spans="5:13" x14ac:dyDescent="0.55000000000000004">
      <c r="E77" s="1">
        <v>11.5</v>
      </c>
      <c r="F77">
        <v>1</v>
      </c>
      <c r="G77" s="4">
        <f t="shared" si="4"/>
        <v>0.21520612266421008</v>
      </c>
      <c r="H77" s="4">
        <f t="shared" si="5"/>
        <v>0.20515428691957649</v>
      </c>
      <c r="I77" s="3">
        <v>4.5379732227640225E-2</v>
      </c>
      <c r="L77" s="1">
        <v>19</v>
      </c>
      <c r="M77" s="2">
        <v>2.6100000000000002E-2</v>
      </c>
    </row>
    <row r="78" spans="5:13" x14ac:dyDescent="0.55000000000000004">
      <c r="E78" s="1">
        <v>11.75</v>
      </c>
      <c r="F78">
        <v>1</v>
      </c>
      <c r="G78" s="4">
        <f t="shared" si="4"/>
        <v>0.21083079210602218</v>
      </c>
      <c r="H78" s="4">
        <f t="shared" si="5"/>
        <v>0.20173551500432638</v>
      </c>
      <c r="I78" s="3">
        <v>4.5516429863943268E-2</v>
      </c>
      <c r="L78" s="1">
        <v>19.5</v>
      </c>
      <c r="M78" s="2">
        <v>2.6599999999999999E-2</v>
      </c>
    </row>
    <row r="79" spans="5:13" x14ac:dyDescent="0.55000000000000004">
      <c r="E79" s="1">
        <v>12</v>
      </c>
      <c r="F79">
        <v>1</v>
      </c>
      <c r="G79" s="4">
        <f t="shared" si="4"/>
        <v>0.2066188026981208</v>
      </c>
      <c r="H79" s="4">
        <f t="shared" si="5"/>
        <v>0.19838905564910078</v>
      </c>
      <c r="I79" s="3">
        <v>4.5649597164873851E-2</v>
      </c>
      <c r="L79" s="1">
        <v>20</v>
      </c>
      <c r="M79" s="2">
        <v>2.7099999999999999E-2</v>
      </c>
    </row>
    <row r="80" spans="5:13" x14ac:dyDescent="0.55000000000000004">
      <c r="E80" s="1">
        <v>12.25</v>
      </c>
      <c r="F80">
        <v>1</v>
      </c>
      <c r="G80" s="4">
        <f t="shared" si="4"/>
        <v>0.20256192182226032</v>
      </c>
      <c r="H80" s="4">
        <f t="shared" si="5"/>
        <v>0.19511533875133599</v>
      </c>
      <c r="I80" s="3">
        <v>4.5779296209311815E-2</v>
      </c>
      <c r="L80" s="1">
        <v>20.5</v>
      </c>
      <c r="M80" s="2">
        <v>2.7300000000000001E-2</v>
      </c>
    </row>
    <row r="81" spans="5:13" x14ac:dyDescent="0.55000000000000004">
      <c r="E81" s="1">
        <v>12.5</v>
      </c>
      <c r="F81">
        <v>1</v>
      </c>
      <c r="G81" s="4">
        <f t="shared" si="4"/>
        <v>0.1986524106001829</v>
      </c>
      <c r="H81" s="4">
        <f t="shared" si="5"/>
        <v>0.19191446360109743</v>
      </c>
      <c r="I81" s="3">
        <v>4.5905594020365779E-2</v>
      </c>
      <c r="L81" s="1">
        <v>21</v>
      </c>
      <c r="M81" s="2">
        <v>2.76E-2</v>
      </c>
    </row>
    <row r="82" spans="5:13" x14ac:dyDescent="0.55000000000000004">
      <c r="E82" s="1">
        <v>12.75</v>
      </c>
      <c r="F82">
        <v>1</v>
      </c>
      <c r="G82" s="4">
        <f t="shared" si="4"/>
        <v>0.19488299086950672</v>
      </c>
      <c r="H82" s="4">
        <f t="shared" si="5"/>
        <v>0.1887862443039911</v>
      </c>
      <c r="I82" s="3">
        <v>4.6028561571883002E-2</v>
      </c>
      <c r="L82" s="1">
        <v>21.5</v>
      </c>
      <c r="M82" s="2">
        <v>2.7799999999999998E-2</v>
      </c>
    </row>
    <row r="83" spans="5:13" x14ac:dyDescent="0.55000000000000004">
      <c r="E83" s="1">
        <v>13</v>
      </c>
      <c r="F83">
        <v>1</v>
      </c>
      <c r="G83" s="4">
        <f t="shared" si="4"/>
        <v>0.19124681453446907</v>
      </c>
      <c r="H83" s="4">
        <f t="shared" si="5"/>
        <v>0.18573025011370831</v>
      </c>
      <c r="I83" s="3">
        <v>4.6148272918263594E-2</v>
      </c>
      <c r="L83" s="1">
        <v>22</v>
      </c>
      <c r="M83" s="2">
        <v>2.81E-2</v>
      </c>
    </row>
    <row r="84" spans="5:13" x14ac:dyDescent="0.55000000000000004">
      <c r="E84" s="1">
        <v>13.25</v>
      </c>
      <c r="F84">
        <v>1</v>
      </c>
      <c r="G84" s="4">
        <f t="shared" si="4"/>
        <v>0.18773743511190372</v>
      </c>
      <c r="H84" s="4">
        <f t="shared" si="5"/>
        <v>0.18274584120499351</v>
      </c>
      <c r="I84" s="3">
        <v>4.6264804434107937E-2</v>
      </c>
      <c r="L84" s="1">
        <v>22.5</v>
      </c>
      <c r="M84" s="2">
        <v>2.8400000000000002E-2</v>
      </c>
    </row>
    <row r="85" spans="5:13" x14ac:dyDescent="0.55000000000000004">
      <c r="E85" s="1">
        <v>13.5</v>
      </c>
      <c r="F85">
        <v>1</v>
      </c>
      <c r="G85" s="4">
        <f t="shared" si="4"/>
        <v>0.18434878130692356</v>
      </c>
      <c r="H85" s="4">
        <f t="shared" si="5"/>
        <v>0.17983220036431088</v>
      </c>
      <c r="I85" s="3">
        <v>4.6378234151620581E-2</v>
      </c>
      <c r="L85" s="1">
        <v>23</v>
      </c>
      <c r="M85" s="2">
        <v>2.86E-2</v>
      </c>
    </row>
    <row r="86" spans="5:13" x14ac:dyDescent="0.55000000000000004">
      <c r="E86" s="1">
        <v>13.75</v>
      </c>
      <c r="F86">
        <v>1</v>
      </c>
      <c r="G86" s="4">
        <f t="shared" si="4"/>
        <v>0.18107513246573381</v>
      </c>
      <c r="H86" s="4">
        <f t="shared" si="5"/>
        <v>0.17698836102726975</v>
      </c>
      <c r="I86" s="3">
        <v>4.6488641184947735E-2</v>
      </c>
      <c r="L86" s="1">
        <v>23.5</v>
      </c>
      <c r="M86" s="2">
        <v>2.8899999999999999E-2</v>
      </c>
    </row>
    <row r="87" spans="5:13" x14ac:dyDescent="0.55000000000000004">
      <c r="E87" s="1">
        <v>14</v>
      </c>
      <c r="F87">
        <v>1</v>
      </c>
      <c r="G87" s="4">
        <f t="shared" si="4"/>
        <v>0.17791109576491373</v>
      </c>
      <c r="H87" s="4">
        <f t="shared" si="5"/>
        <v>0.17421323204843081</v>
      </c>
      <c r="I87" s="3">
        <v>4.6596105231753324E-2</v>
      </c>
      <c r="L87" s="1">
        <v>24</v>
      </c>
      <c r="M87" s="2">
        <v>2.9100000000000001E-2</v>
      </c>
    </row>
    <row r="88" spans="5:13" x14ac:dyDescent="0.55000000000000004">
      <c r="E88" s="1">
        <v>14.25</v>
      </c>
      <c r="F88">
        <v>1</v>
      </c>
      <c r="G88" s="4">
        <f t="shared" si="4"/>
        <v>0.17485158500746117</v>
      </c>
      <c r="H88" s="4">
        <f t="shared" si="5"/>
        <v>0.17150561954998991</v>
      </c>
      <c r="I88" s="3">
        <v>4.6700706143351881E-2</v>
      </c>
      <c r="L88" s="1">
        <v>24.5</v>
      </c>
      <c r="M88" s="2">
        <v>2.9399999999999999E-2</v>
      </c>
    </row>
    <row r="89" spans="5:13" x14ac:dyDescent="0.55000000000000004">
      <c r="E89" s="1">
        <v>14.5</v>
      </c>
      <c r="F89">
        <v>1</v>
      </c>
      <c r="G89" s="4">
        <f t="shared" si="4"/>
        <v>0.17189180090596967</v>
      </c>
      <c r="H89" s="4">
        <f t="shared" si="5"/>
        <v>0.16886424616059387</v>
      </c>
      <c r="I89" s="3">
        <v>4.6802523555628028E-2</v>
      </c>
      <c r="L89" s="1">
        <v>25</v>
      </c>
      <c r="M89" s="2">
        <v>2.9700000000000001E-2</v>
      </c>
    </row>
    <row r="90" spans="5:13" x14ac:dyDescent="0.55000000000000004">
      <c r="E90" s="1">
        <v>14.75</v>
      </c>
      <c r="F90">
        <v>1</v>
      </c>
      <c r="G90" s="4">
        <f t="shared" si="4"/>
        <v>0.16902721274258162</v>
      </c>
      <c r="H90" s="4">
        <f t="shared" si="5"/>
        <v>0.16628776792381325</v>
      </c>
      <c r="I90" s="3">
        <v>4.6901636573790387E-2</v>
      </c>
      <c r="L90" s="1">
        <v>25.5</v>
      </c>
      <c r="M90" s="2">
        <v>0.03</v>
      </c>
    </row>
    <row r="91" spans="5:13" x14ac:dyDescent="0.55000000000000004">
      <c r="E91" s="1">
        <v>15</v>
      </c>
      <c r="F91">
        <v>1</v>
      </c>
      <c r="G91" s="4">
        <f t="shared" si="4"/>
        <v>0.16625354130388895</v>
      </c>
      <c r="H91" s="4">
        <f t="shared" si="5"/>
        <v>0.1637747891272226</v>
      </c>
      <c r="I91" s="3">
        <v>4.6998123504743763E-2</v>
      </c>
      <c r="L91" s="1">
        <v>26</v>
      </c>
      <c r="M91" s="2">
        <v>3.0300000000000001E-2</v>
      </c>
    </row>
    <row r="92" spans="5:13" x14ac:dyDescent="0.55000000000000004">
      <c r="E92" s="1">
        <v>15.25</v>
      </c>
      <c r="F92">
        <v>1</v>
      </c>
      <c r="G92" s="4">
        <f t="shared" si="4"/>
        <v>0.1635667429968056</v>
      </c>
      <c r="H92" s="4">
        <f t="shared" si="5"/>
        <v>0.16132387527731978</v>
      </c>
      <c r="I92" s="3">
        <v>4.7092061631523276E-2</v>
      </c>
      <c r="L92" s="1">
        <v>26.5</v>
      </c>
      <c r="M92" s="2">
        <v>3.0499999999999999E-2</v>
      </c>
    </row>
    <row r="93" spans="5:13" x14ac:dyDescent="0.55000000000000004">
      <c r="E93" s="1">
        <v>15.5</v>
      </c>
      <c r="F93">
        <v>1</v>
      </c>
      <c r="G93" s="4">
        <f t="shared" si="4"/>
        <v>0.16096299505866199</v>
      </c>
      <c r="H93" s="4">
        <f t="shared" si="5"/>
        <v>0.15893356442236625</v>
      </c>
      <c r="I93" s="3">
        <v>4.7183527024827657E-2</v>
      </c>
      <c r="L93" s="1">
        <v>27</v>
      </c>
      <c r="M93" s="2">
        <v>3.0800000000000001E-2</v>
      </c>
    </row>
    <row r="94" spans="5:13" x14ac:dyDescent="0.55000000000000004">
      <c r="E94" s="1">
        <v>15.75</v>
      </c>
      <c r="F94">
        <v>1</v>
      </c>
      <c r="G94" s="4">
        <f t="shared" si="4"/>
        <v>0.15843868178142398</v>
      </c>
      <c r="H94" s="4">
        <f t="shared" si="5"/>
        <v>0.15660237700439508</v>
      </c>
      <c r="I94" s="3">
        <v>4.727259438722102E-2</v>
      </c>
      <c r="L94" s="1">
        <v>27.5</v>
      </c>
      <c r="M94" s="2">
        <v>3.1099999999999999E-2</v>
      </c>
    </row>
    <row r="95" spans="5:13" x14ac:dyDescent="0.55000000000000004">
      <c r="E95" s="1">
        <v>16</v>
      </c>
      <c r="F95">
        <v>1</v>
      </c>
      <c r="G95" s="4">
        <f t="shared" si="4"/>
        <v>0.15599038167606655</v>
      </c>
      <c r="H95" s="4">
        <f t="shared" si="5"/>
        <v>0.15432882440289261</v>
      </c>
      <c r="I95" s="3">
        <v>4.7359336926050009E-2</v>
      </c>
      <c r="L95" s="1">
        <v>28</v>
      </c>
      <c r="M95" s="2">
        <v>3.1399999999999997E-2</v>
      </c>
    </row>
    <row r="96" spans="5:13" x14ac:dyDescent="0.55000000000000004">
      <c r="E96" s="1">
        <v>16.25</v>
      </c>
      <c r="F96">
        <v>1</v>
      </c>
      <c r="G96" s="4">
        <f t="shared" ref="G96:G127" si="6">IF(lambda=0,1,(1-EXP(-lambda*$E96))/(lambda*$E96))</f>
        <v>0.15361485550877269</v>
      </c>
      <c r="H96" s="4">
        <f t="shared" ref="H96:H127" si="7">G96-EXP(-lambda*$E96)</f>
        <v>0.15211141631579511</v>
      </c>
      <c r="I96" s="3">
        <v>4.7443826251551989E-2</v>
      </c>
      <c r="L96" s="1">
        <v>28.5</v>
      </c>
      <c r="M96" s="2">
        <v>3.1699999999999999E-2</v>
      </c>
    </row>
    <row r="97" spans="5:13" x14ac:dyDescent="0.55000000000000004">
      <c r="E97" s="1">
        <v>16.5</v>
      </c>
      <c r="F97">
        <v>1</v>
      </c>
      <c r="G97" s="4">
        <f t="shared" si="6"/>
        <v>0.15130903514582605</v>
      </c>
      <c r="H97" s="4">
        <f t="shared" si="7"/>
        <v>0.14994866710827817</v>
      </c>
      <c r="I97" s="3">
        <v>4.7526132297013954E-2</v>
      </c>
      <c r="L97" s="1">
        <v>29</v>
      </c>
      <c r="M97" s="2">
        <v>3.2099999999999997E-2</v>
      </c>
    </row>
    <row r="98" spans="5:13" x14ac:dyDescent="0.55000000000000004">
      <c r="E98" s="1">
        <v>16.75</v>
      </c>
      <c r="F98">
        <v>1</v>
      </c>
      <c r="G98" s="4">
        <f t="shared" si="6"/>
        <v>0.14907001314885471</v>
      </c>
      <c r="H98" s="4">
        <f t="shared" si="7"/>
        <v>0.14783910124618121</v>
      </c>
      <c r="I98" s="3">
        <v>4.7606323258186603E-2</v>
      </c>
      <c r="L98" s="1">
        <v>29.5</v>
      </c>
      <c r="M98" s="2">
        <v>3.2399999999999998E-2</v>
      </c>
    </row>
    <row r="99" spans="5:13" x14ac:dyDescent="0.55000000000000004">
      <c r="E99" s="1">
        <v>17</v>
      </c>
      <c r="F99">
        <v>1</v>
      </c>
      <c r="G99" s="4">
        <f t="shared" si="6"/>
        <v>0.1468950330664934</v>
      </c>
      <c r="H99" s="4">
        <f t="shared" si="7"/>
        <v>0.1457812579186486</v>
      </c>
      <c r="I99" s="3">
        <v>4.7684465549466544E-2</v>
      </c>
      <c r="L99" s="1">
        <v>30</v>
      </c>
      <c r="M99" s="2">
        <v>3.27E-2</v>
      </c>
    </row>
    <row r="100" spans="5:13" x14ac:dyDescent="0.55000000000000004">
      <c r="E100" s="1">
        <v>17.25</v>
      </c>
      <c r="F100">
        <v>1</v>
      </c>
      <c r="G100" s="4">
        <f t="shared" si="6"/>
        <v>0.14478148037260166</v>
      </c>
      <c r="H100" s="4">
        <f t="shared" si="7"/>
        <v>0.14377369494355316</v>
      </c>
      <c r="I100" s="3">
        <v>4.7760623774636343E-2</v>
      </c>
    </row>
    <row r="101" spans="5:13" x14ac:dyDescent="0.55000000000000004">
      <c r="E101" s="1">
        <v>17.5</v>
      </c>
      <c r="F101">
        <v>1</v>
      </c>
      <c r="G101" s="4">
        <f t="shared" si="6"/>
        <v>0.14272687400492079</v>
      </c>
      <c r="H101" s="4">
        <f t="shared" si="7"/>
        <v>0.14181499203936626</v>
      </c>
      <c r="I101" s="3">
        <v>4.7834860710199704E-2</v>
      </c>
    </row>
    <row r="102" spans="5:13" x14ac:dyDescent="0.55000000000000004">
      <c r="E102" s="1">
        <v>17.75</v>
      </c>
      <c r="F102">
        <v>1</v>
      </c>
      <c r="G102" s="4">
        <f t="shared" si="6"/>
        <v>0.14072885846151184</v>
      </c>
      <c r="H102" s="4">
        <f t="shared" si="7"/>
        <v>0.13990375353824594</v>
      </c>
      <c r="I102" s="3">
        <v>4.79072372995707E-2</v>
      </c>
    </row>
    <row r="103" spans="5:13" x14ac:dyDescent="0.55000000000000004">
      <c r="E103" s="1">
        <v>18</v>
      </c>
      <c r="F103">
        <v>1</v>
      </c>
      <c r="G103" s="4">
        <f t="shared" si="6"/>
        <v>0.13878519641550324</v>
      </c>
      <c r="H103" s="4">
        <f t="shared" si="7"/>
        <v>0.13803861060712655</v>
      </c>
      <c r="I103" s="3">
        <v>4.7977812656574526E-2</v>
      </c>
    </row>
    <row r="104" spans="5:13" x14ac:dyDescent="0.55000000000000004">
      <c r="E104" s="1">
        <v>18.25</v>
      </c>
      <c r="F104">
        <v>1</v>
      </c>
      <c r="G104" s="4">
        <f t="shared" si="6"/>
        <v>0.13689376181161728</v>
      </c>
      <c r="H104" s="4">
        <f t="shared" si="7"/>
        <v>0.13621822303642342</v>
      </c>
      <c r="I104" s="3">
        <v>4.804664407689431E-2</v>
      </c>
    </row>
    <row r="105" spans="5:13" x14ac:dyDescent="0.55000000000000004">
      <c r="E105" s="1">
        <v>18.5</v>
      </c>
      <c r="F105">
        <v>1</v>
      </c>
      <c r="G105" s="4">
        <f t="shared" si="6"/>
        <v>0.13505253341065815</v>
      </c>
      <c r="H105" s="4">
        <f t="shared" si="7"/>
        <v>0.13444128064952857</v>
      </c>
      <c r="I105" s="3">
        <v>4.8113787056257185E-2</v>
      </c>
    </row>
    <row r="106" spans="5:13" x14ac:dyDescent="0.55000000000000004">
      <c r="E106" s="1">
        <v>18.75</v>
      </c>
      <c r="F106">
        <v>1</v>
      </c>
      <c r="G106" s="4">
        <f t="shared" si="6"/>
        <v>0.13325958875064697</v>
      </c>
      <c r="H106" s="4">
        <f t="shared" si="7"/>
        <v>0.13270650438049914</v>
      </c>
      <c r="I106" s="3">
        <v>4.8179295314294684E-2</v>
      </c>
    </row>
    <row r="107" spans="5:13" x14ac:dyDescent="0.55000000000000004">
      <c r="E107" s="1">
        <v>19</v>
      </c>
      <c r="F107">
        <v>1</v>
      </c>
      <c r="G107" s="4">
        <f t="shared" si="6"/>
        <v>0.13151309849559992</v>
      </c>
      <c r="H107" s="4">
        <f t="shared" si="7"/>
        <v>0.13101264706215932</v>
      </c>
      <c r="I107" s="3">
        <v>4.8243220823138325E-2</v>
      </c>
    </row>
    <row r="108" spans="5:13" x14ac:dyDescent="0.55000000000000004">
      <c r="E108" s="1">
        <v>19.25</v>
      </c>
      <c r="F108">
        <v>1</v>
      </c>
      <c r="G108" s="4">
        <f t="shared" si="6"/>
        <v>0.12981132114507965</v>
      </c>
      <c r="H108" s="4">
        <f t="shared" si="7"/>
        <v>0.12935849396219284</v>
      </c>
      <c r="I108" s="3">
        <v>4.8305613839924821E-2</v>
      </c>
    </row>
    <row r="109" spans="5:13" x14ac:dyDescent="0.55000000000000004">
      <c r="E109" s="1">
        <v>19.5</v>
      </c>
      <c r="F109">
        <v>1</v>
      </c>
      <c r="G109" s="4">
        <f t="shared" si="6"/>
        <v>0.12815259807961796</v>
      </c>
      <c r="H109" s="4">
        <f t="shared" si="7"/>
        <v>0.12774286310063818</v>
      </c>
      <c r="I109" s="3">
        <v>4.8366522942485411E-2</v>
      </c>
    </row>
    <row r="110" spans="5:13" x14ac:dyDescent="0.55000000000000004">
      <c r="E110" s="1">
        <v>19.75</v>
      </c>
      <c r="F110">
        <v>1</v>
      </c>
      <c r="G110" s="4">
        <f t="shared" si="6"/>
        <v>0.12653534891892923</v>
      </c>
      <c r="H110" s="4">
        <f t="shared" si="7"/>
        <v>0.12616460537847013</v>
      </c>
      <c r="I110" s="3">
        <v>4.8425995067583688E-2</v>
      </c>
    </row>
    <row r="111" spans="5:13" x14ac:dyDescent="0.55000000000000004">
      <c r="E111" s="1">
        <v>20</v>
      </c>
      <c r="F111">
        <v>1</v>
      </c>
      <c r="G111" s="4">
        <f t="shared" si="6"/>
        <v>0.12495806717151219</v>
      </c>
      <c r="H111" s="4">
        <f t="shared" si="7"/>
        <v>0.12462260454360967</v>
      </c>
      <c r="I111" s="3">
        <v>4.848407555114604E-2</v>
      </c>
    </row>
    <row r="112" spans="5:13" x14ac:dyDescent="0.55000000000000004">
      <c r="E112" s="1">
        <v>20.25</v>
      </c>
      <c r="F112">
        <v>1</v>
      </c>
      <c r="G112" s="4">
        <f t="shared" si="6"/>
        <v>0.12341931615579273</v>
      </c>
      <c r="H112" s="4">
        <f t="shared" si="7"/>
        <v>0.12311577701771385</v>
      </c>
      <c r="I112" s="3">
        <v>4.8540808169999901E-2</v>
      </c>
    </row>
    <row r="113" spans="5:9" x14ac:dyDescent="0.55000000000000004">
      <c r="E113" s="1">
        <v>20.5</v>
      </c>
      <c r="F113">
        <v>1</v>
      </c>
      <c r="G113" s="4">
        <f t="shared" si="6"/>
        <v>0.12191772517439363</v>
      </c>
      <c r="H113" s="4">
        <f t="shared" si="7"/>
        <v>0.12164307160442149</v>
      </c>
      <c r="I113" s="3">
        <v>4.8596235184698112E-2</v>
      </c>
    </row>
    <row r="114" spans="5:9" x14ac:dyDescent="0.55000000000000004">
      <c r="E114" s="1">
        <v>20.75</v>
      </c>
      <c r="F114">
        <v>1</v>
      </c>
      <c r="G114" s="4">
        <f t="shared" si="6"/>
        <v>0.12045198592444482</v>
      </c>
      <c r="H114" s="4">
        <f t="shared" si="7"/>
        <v>0.12020346909733687</v>
      </c>
      <c r="I114" s="3">
        <v>4.8650397383063683E-2</v>
      </c>
    </row>
    <row r="115" spans="5:9" x14ac:dyDescent="0.55000000000000004">
      <c r="E115" s="1">
        <v>21</v>
      </c>
      <c r="F115">
        <v>1</v>
      </c>
      <c r="G115" s="4">
        <f t="shared" si="6"/>
        <v>0.11902084912807395</v>
      </c>
      <c r="H115" s="4">
        <f t="shared" si="7"/>
        <v>0.1187959818038951</v>
      </c>
      <c r="I115" s="3">
        <v>4.8703334124139283E-2</v>
      </c>
    </row>
    <row r="116" spans="5:9" x14ac:dyDescent="0.55000000000000004">
      <c r="E116" s="1">
        <v>21.25</v>
      </c>
      <c r="F116">
        <v>1</v>
      </c>
      <c r="G116" s="4">
        <f t="shared" si="6"/>
        <v>0.11762312136835169</v>
      </c>
      <c r="H116" s="4">
        <f t="shared" si="7"/>
        <v>0.11741965299934105</v>
      </c>
      <c r="I116" s="3">
        <v>4.8755083382269374E-2</v>
      </c>
    </row>
    <row r="117" spans="5:9" x14ac:dyDescent="0.55000000000000004">
      <c r="E117" s="1">
        <v>21.5</v>
      </c>
      <c r="F117">
        <v>1</v>
      </c>
      <c r="G117" s="4">
        <f t="shared" si="6"/>
        <v>0.11625766211701541</v>
      </c>
      <c r="H117" s="4">
        <f t="shared" si="7"/>
        <v>0.11607355632334783</v>
      </c>
      <c r="I117" s="3">
        <v>4.880568179108262E-2</v>
      </c>
    </row>
    <row r="118" spans="5:9" x14ac:dyDescent="0.55000000000000004">
      <c r="E118" s="1">
        <v>21.75</v>
      </c>
      <c r="F118">
        <v>1</v>
      </c>
      <c r="G118" s="4">
        <f t="shared" si="6"/>
        <v>0.11492338094126578</v>
      </c>
      <c r="H118" s="4">
        <f t="shared" si="7"/>
        <v>0.11475679513027814</v>
      </c>
      <c r="I118" s="3">
        <v>4.8855164687176128E-2</v>
      </c>
    </row>
    <row r="119" spans="5:9" x14ac:dyDescent="0.55000000000000004">
      <c r="E119" s="1">
        <v>22</v>
      </c>
      <c r="F119">
        <v>1</v>
      </c>
      <c r="G119" s="4">
        <f t="shared" si="6"/>
        <v>0.11361923487783004</v>
      </c>
      <c r="H119" s="4">
        <f t="shared" si="7"/>
        <v>0.11346850180273457</v>
      </c>
      <c r="I119" s="3">
        <v>4.8903566153333834E-2</v>
      </c>
    </row>
    <row r="120" spans="5:9" x14ac:dyDescent="0.55000000000000004">
      <c r="E120" s="1">
        <v>22.25</v>
      </c>
      <c r="F120">
        <v>1</v>
      </c>
      <c r="G120" s="4">
        <f t="shared" si="6"/>
        <v>0.11234422596331661</v>
      </c>
      <c r="H120" s="4">
        <f t="shared" si="7"/>
        <v>0.1122078370368346</v>
      </c>
      <c r="I120" s="3">
        <v>4.8950919061138375E-2</v>
      </c>
    </row>
    <row r="121" spans="5:9" x14ac:dyDescent="0.55000000000000004">
      <c r="E121" s="1">
        <v>22.5</v>
      </c>
      <c r="F121">
        <v>1</v>
      </c>
      <c r="G121" s="4">
        <f t="shared" si="6"/>
        <v>0.11109739891065704</v>
      </c>
      <c r="H121" s="4">
        <f t="shared" si="7"/>
        <v>0.11097398910657036</v>
      </c>
      <c r="I121" s="3">
        <v>4.8997255112859094E-2</v>
      </c>
    </row>
    <row r="122" spans="5:9" x14ac:dyDescent="0.55000000000000004">
      <c r="E122" s="1">
        <v>22.75</v>
      </c>
      <c r="F122">
        <v>1</v>
      </c>
      <c r="G122" s="4">
        <f t="shared" si="6"/>
        <v>0.10987783892214395</v>
      </c>
      <c r="H122" s="4">
        <f t="shared" si="7"/>
        <v>0.10976617311365383</v>
      </c>
      <c r="I122" s="3">
        <v>4.9042604882519922E-2</v>
      </c>
    </row>
    <row r="123" spans="5:9" x14ac:dyDescent="0.55000000000000004">
      <c r="E123" s="1">
        <v>23</v>
      </c>
      <c r="F123">
        <v>1</v>
      </c>
      <c r="G123" s="4">
        <f t="shared" si="6"/>
        <v>0.10868466963023508</v>
      </c>
      <c r="H123" s="4">
        <f t="shared" si="7"/>
        <v>0.108583630228398</v>
      </c>
      <c r="I123" s="3">
        <v>4.9086997856069056E-2</v>
      </c>
    </row>
    <row r="124" spans="5:9" x14ac:dyDescent="0.55000000000000004">
      <c r="E124" s="1">
        <v>23.25</v>
      </c>
      <c r="F124">
        <v>1</v>
      </c>
      <c r="G124" s="4">
        <f t="shared" si="6"/>
        <v>0.10751705115790557</v>
      </c>
      <c r="H124" s="4">
        <f t="shared" si="7"/>
        <v>0.10742562692642739</v>
      </c>
      <c r="I124" s="3">
        <v>4.91304624705882E-2</v>
      </c>
    </row>
    <row r="125" spans="5:9" x14ac:dyDescent="0.55000000000000004">
      <c r="E125" s="1">
        <v>23.5</v>
      </c>
      <c r="F125">
        <v>1</v>
      </c>
      <c r="G125" s="4">
        <f t="shared" si="6"/>
        <v>0.10637417829089822</v>
      </c>
      <c r="H125" s="4">
        <f t="shared" si="7"/>
        <v>0.10629145422534159</v>
      </c>
      <c r="I125" s="3">
        <v>4.9173026152493235E-2</v>
      </c>
    </row>
    <row r="126" spans="5:9" x14ac:dyDescent="0.55000000000000004">
      <c r="E126" s="1">
        <v>23.75</v>
      </c>
      <c r="F126">
        <v>1</v>
      </c>
      <c r="G126" s="4">
        <f t="shared" si="6"/>
        <v>0.10525527875474867</v>
      </c>
      <c r="H126" s="4">
        <f t="shared" si="7"/>
        <v>0.10518042692486097</v>
      </c>
      <c r="I126" s="3">
        <v>4.9214715354690276E-2</v>
      </c>
    </row>
    <row r="127" spans="5:9" x14ac:dyDescent="0.55000000000000004">
      <c r="E127" s="1">
        <v>24</v>
      </c>
      <c r="F127">
        <v>1</v>
      </c>
      <c r="G127" s="4">
        <f t="shared" si="6"/>
        <v>0.10415961158994885</v>
      </c>
      <c r="H127" s="4">
        <f t="shared" si="7"/>
        <v>0.104091882853458</v>
      </c>
      <c r="I127" s="3">
        <v>4.9255555592661537E-2</v>
      </c>
    </row>
    <row r="128" spans="5:9" x14ac:dyDescent="0.55000000000000004">
      <c r="E128" s="1">
        <v>24.25</v>
      </c>
      <c r="F128">
        <v>1</v>
      </c>
      <c r="G128" s="4">
        <f t="shared" ref="G128:G159" si="8">IF(lambda=0,1,(1-EXP(-lambda*$E128))/(lambda*$E128))</f>
        <v>0.10308646561906668</v>
      </c>
      <c r="H128" s="4">
        <f t="shared" ref="H128:H159" si="9">G128-EXP(-lambda*$E128)</f>
        <v>0.10302518212401346</v>
      </c>
      <c r="I128" s="3">
        <v>4.9295571479464673E-2</v>
      </c>
    </row>
    <row r="129" spans="5:9" x14ac:dyDescent="0.55000000000000004">
      <c r="E129" s="1">
        <v>24.5</v>
      </c>
      <c r="F129">
        <v>1</v>
      </c>
      <c r="G129" s="4">
        <f t="shared" si="8"/>
        <v>0.10203515800005793</v>
      </c>
      <c r="H129" s="4">
        <f t="shared" si="9"/>
        <v>0.10197970640062574</v>
      </c>
      <c r="I129" s="3">
        <v>4.9334786759637081E-2</v>
      </c>
    </row>
    <row r="130" spans="5:9" x14ac:dyDescent="0.55000000000000004">
      <c r="E130" s="1">
        <v>24.75</v>
      </c>
      <c r="F130">
        <v>1</v>
      </c>
      <c r="G130" s="4">
        <f t="shared" si="8"/>
        <v>0.10100503286039837</v>
      </c>
      <c r="H130" s="4">
        <f t="shared" si="9"/>
        <v>0.1009548581783422</v>
      </c>
      <c r="I130" s="3">
        <v>4.9373224342003322E-2</v>
      </c>
    </row>
    <row r="131" spans="5:9" x14ac:dyDescent="0.55000000000000004">
      <c r="E131" s="1">
        <v>25</v>
      </c>
      <c r="F131">
        <v>1</v>
      </c>
      <c r="G131" s="4">
        <f t="shared" si="8"/>
        <v>9.9995460007023751E-2</v>
      </c>
      <c r="H131" s="4">
        <f t="shared" si="9"/>
        <v>9.995006007726126E-2</v>
      </c>
      <c r="I131" s="3">
        <v>4.9410906331389753E-2</v>
      </c>
    </row>
    <row r="132" spans="5:9" x14ac:dyDescent="0.55000000000000004">
      <c r="E132" s="1">
        <v>25.25</v>
      </c>
      <c r="F132">
        <v>1</v>
      </c>
      <c r="G132" s="4">
        <f t="shared" si="8"/>
        <v>9.9005833707403429E-2</v>
      </c>
      <c r="H132" s="4">
        <f t="shared" si="9"/>
        <v>9.8964754152178133E-2</v>
      </c>
      <c r="I132" s="3">
        <v>4.9447854059255197E-2</v>
      </c>
    </row>
    <row r="133" spans="5:9" x14ac:dyDescent="0.55000000000000004">
      <c r="E133" s="1">
        <v>25.5</v>
      </c>
      <c r="F133">
        <v>1</v>
      </c>
      <c r="G133" s="4">
        <f t="shared" si="8"/>
        <v>9.8035571537383903E-2</v>
      </c>
      <c r="H133" s="4">
        <f t="shared" si="9"/>
        <v>9.7998401218699779E-2</v>
      </c>
      <c r="I133" s="3">
        <v>4.9484088113250682E-2</v>
      </c>
    </row>
    <row r="134" spans="5:9" x14ac:dyDescent="0.55000000000000004">
      <c r="E134" s="1">
        <v>25.75</v>
      </c>
      <c r="F134">
        <v>1</v>
      </c>
      <c r="G134" s="4">
        <f t="shared" si="8"/>
        <v>9.7084113291729543E-2</v>
      </c>
      <c r="H134" s="4">
        <f t="shared" si="9"/>
        <v>9.7050480196543817E-2</v>
      </c>
      <c r="I134" s="3">
        <v>4.9519628365724731E-2</v>
      </c>
    </row>
    <row r="135" spans="5:9" x14ac:dyDescent="0.55000000000000004">
      <c r="E135" s="1">
        <v>26</v>
      </c>
      <c r="F135">
        <v>1</v>
      </c>
      <c r="G135" s="4">
        <f t="shared" si="8"/>
        <v>9.6150919953556888E-2</v>
      </c>
      <c r="H135" s="4">
        <f t="shared" si="9"/>
        <v>9.612048747054848E-2</v>
      </c>
      <c r="I135" s="3">
        <v>4.955449400119348E-2</v>
      </c>
    </row>
    <row r="136" spans="5:9" x14ac:dyDescent="0.55000000000000004">
      <c r="E136" s="1">
        <v>26.25</v>
      </c>
      <c r="F136">
        <v>1</v>
      </c>
      <c r="G136" s="4">
        <f t="shared" si="8"/>
        <v>9.5235472719109551E-2</v>
      </c>
      <c r="H136" s="4">
        <f t="shared" si="9"/>
        <v>9.5207936269759805E-2</v>
      </c>
      <c r="I136" s="3">
        <v>4.9588703542797381E-2</v>
      </c>
    </row>
    <row r="137" spans="5:9" x14ac:dyDescent="0.55000000000000004">
      <c r="E137" s="1">
        <v>26.5</v>
      </c>
      <c r="F137">
        <v>1</v>
      </c>
      <c r="G137" s="4">
        <f t="shared" si="8"/>
        <v>9.4337272074553613E-2</v>
      </c>
      <c r="H137" s="4">
        <f t="shared" si="9"/>
        <v>9.4312356064822106E-2</v>
      </c>
      <c r="I137" s="3">
        <v>4.962227487776795E-2</v>
      </c>
    </row>
    <row r="138" spans="5:9" x14ac:dyDescent="0.55000000000000004">
      <c r="E138" s="1">
        <v>26.75</v>
      </c>
      <c r="F138">
        <v>1</v>
      </c>
      <c r="G138" s="4">
        <f t="shared" si="8"/>
        <v>9.345583692169035E-2</v>
      </c>
      <c r="H138" s="4">
        <f t="shared" si="9"/>
        <v>9.3433291983777131E-2</v>
      </c>
      <c r="I138" s="3">
        <v>4.9655225281929567E-2</v>
      </c>
    </row>
    <row r="139" spans="5:9" x14ac:dyDescent="0.55000000000000004">
      <c r="E139" s="1">
        <v>27</v>
      </c>
      <c r="F139">
        <v>1</v>
      </c>
      <c r="G139" s="4">
        <f t="shared" si="8"/>
        <v>9.2590703749684145E-2</v>
      </c>
      <c r="H139" s="4">
        <f t="shared" si="9"/>
        <v>9.2570304246272966E-2</v>
      </c>
      <c r="I139" s="3">
        <v>4.9687571443262517E-2</v>
      </c>
    </row>
    <row r="140" spans="5:9" x14ac:dyDescent="0.55000000000000004">
      <c r="E140" s="1">
        <v>27.25</v>
      </c>
      <c r="F140">
        <v>1</v>
      </c>
      <c r="G140" s="4">
        <f t="shared" si="8"/>
        <v>9.1741425850092123E-2</v>
      </c>
      <c r="H140" s="4">
        <f t="shared" si="9"/>
        <v>9.1722967616096343E-2</v>
      </c>
      <c r="I140" s="3">
        <v>4.9719329484554244E-2</v>
      </c>
    </row>
    <row r="141" spans="5:9" x14ac:dyDescent="0.55000000000000004">
      <c r="E141" s="1">
        <v>27.5</v>
      </c>
      <c r="F141">
        <v>1</v>
      </c>
      <c r="G141" s="4">
        <f t="shared" si="8"/>
        <v>9.0907572572655429E-2</v>
      </c>
      <c r="H141" s="4">
        <f t="shared" si="9"/>
        <v>9.089087087186519E-2</v>
      </c>
      <c r="I141" s="3">
        <v>4.9750514985166312E-2</v>
      </c>
    </row>
    <row r="142" spans="5:9" x14ac:dyDescent="0.55000000000000004">
      <c r="E142" s="1">
        <v>27.75</v>
      </c>
      <c r="F142">
        <v>1</v>
      </c>
      <c r="G142" s="4">
        <f t="shared" si="8"/>
        <v>9.0088728619475672E-2</v>
      </c>
      <c r="H142" s="4">
        <f t="shared" si="9"/>
        <v>9.0073616295655815E-2</v>
      </c>
      <c r="I142" s="3">
        <v>4.978114300194502E-2</v>
      </c>
    </row>
    <row r="143" spans="5:9" x14ac:dyDescent="0.55000000000000004">
      <c r="E143" s="1">
        <v>28</v>
      </c>
      <c r="F143">
        <v>1</v>
      </c>
      <c r="G143" s="4">
        <f t="shared" si="8"/>
        <v>8.928449337535127E-2</v>
      </c>
      <c r="H143" s="4">
        <f t="shared" si="9"/>
        <v>8.9270819179285588E-2</v>
      </c>
      <c r="I143" s="3">
        <v>4.9811228089303577E-2</v>
      </c>
    </row>
    <row r="144" spans="5:9" x14ac:dyDescent="0.55000000000000004">
      <c r="E144" s="1">
        <v>28.25</v>
      </c>
      <c r="F144">
        <v>1</v>
      </c>
      <c r="G144" s="4">
        <f t="shared" si="8"/>
        <v>8.8494480272189216E-2</v>
      </c>
      <c r="H144" s="4">
        <f t="shared" si="9"/>
        <v>8.8482107347927427E-2</v>
      </c>
      <c r="I144" s="3">
        <v>4.9840784318504014E-2</v>
      </c>
    </row>
    <row r="145" spans="5:9" x14ac:dyDescent="0.55000000000000004">
      <c r="E145" s="1">
        <v>28.5</v>
      </c>
      <c r="F145">
        <v>1</v>
      </c>
      <c r="G145" s="4">
        <f t="shared" si="8"/>
        <v>8.7718316185540116E-2</v>
      </c>
      <c r="H145" s="4">
        <f t="shared" si="9"/>
        <v>8.7707120700697527E-2</v>
      </c>
      <c r="I145" s="3">
        <v>4.9869825296166487E-2</v>
      </c>
    </row>
    <row r="146" spans="5:9" x14ac:dyDescent="0.55000000000000004">
      <c r="E146" s="1">
        <v>28.75</v>
      </c>
      <c r="F146">
        <v>1</v>
      </c>
      <c r="G146" s="4">
        <f t="shared" si="8"/>
        <v>8.6955640861426209E-2</v>
      </c>
      <c r="H146" s="4">
        <f t="shared" si="9"/>
        <v>8.6945510767827583E-2</v>
      </c>
      <c r="I146" s="3">
        <v>4.9898364182033653E-2</v>
      </c>
    </row>
    <row r="147" spans="5:9" x14ac:dyDescent="0.55000000000000004">
      <c r="E147" s="1">
        <v>29</v>
      </c>
      <c r="F147">
        <v>1</v>
      </c>
      <c r="G147" s="4">
        <f t="shared" si="8"/>
        <v>8.620610637174686E-2</v>
      </c>
      <c r="H147" s="4">
        <f t="shared" si="9"/>
        <v>8.6196940284010606E-2</v>
      </c>
      <c r="I147" s="3">
        <v>4.9926413706017213E-2</v>
      </c>
    </row>
    <row r="148" spans="5:9" x14ac:dyDescent="0.55000000000000004">
      <c r="E148" s="1">
        <v>29.25</v>
      </c>
      <c r="F148">
        <v>1</v>
      </c>
      <c r="G148" s="4">
        <f t="shared" si="8"/>
        <v>8.5469376596652921E-2</v>
      </c>
      <c r="H148" s="4">
        <f t="shared" si="9"/>
        <v>8.5461082777492162E-2</v>
      </c>
      <c r="I148" s="3">
        <v>4.995398618455342E-2</v>
      </c>
    </row>
    <row r="149" spans="5:9" x14ac:dyDescent="0.55000000000000004">
      <c r="E149" s="1">
        <v>29.5</v>
      </c>
      <c r="F149">
        <v>1</v>
      </c>
      <c r="G149" s="4">
        <f t="shared" si="8"/>
        <v>8.4745126732380077E-2</v>
      </c>
      <c r="H149" s="4">
        <f t="shared" si="9"/>
        <v>8.4737622174464997E-2</v>
      </c>
      <c r="I149" s="3">
        <v>4.9981093536293555E-2</v>
      </c>
    </row>
    <row r="150" spans="5:9" x14ac:dyDescent="0.55000000000000004">
      <c r="E150" s="1">
        <v>29.75</v>
      </c>
      <c r="F150">
        <v>1</v>
      </c>
      <c r="G150" s="4">
        <f t="shared" si="8"/>
        <v>8.4033042823125431E-2</v>
      </c>
      <c r="H150" s="4">
        <f t="shared" si="9"/>
        <v>8.4026252418318056E-2</v>
      </c>
      <c r="I150" s="3">
        <v>5.0007747297155188E-2</v>
      </c>
    </row>
    <row r="151" spans="5:9" x14ac:dyDescent="0.55000000000000004">
      <c r="E151" s="1">
        <v>30</v>
      </c>
      <c r="F151">
        <v>1</v>
      </c>
      <c r="G151" s="4">
        <f t="shared" si="8"/>
        <v>8.3332821315637226E-2</v>
      </c>
      <c r="H151" s="4">
        <f t="shared" si="9"/>
        <v>8.3326677103283897E-2</v>
      </c>
      <c r="I151" s="3">
        <v>5.0033958634758874E-2</v>
      </c>
    </row>
    <row r="152" spans="5:9" x14ac:dyDescent="0.55000000000000004">
      <c r="E152" s="1">
        <v>30.25</v>
      </c>
      <c r="F152">
        <v>1</v>
      </c>
      <c r="G152" s="4">
        <f t="shared" si="8"/>
        <v>8.2644168635269272E-2</v>
      </c>
      <c r="H152" s="4">
        <f t="shared" si="9"/>
        <v>8.2638609122027626E-2</v>
      </c>
      <c r="I152" s="3">
        <v>5.0059738362274904E-2</v>
      </c>
    </row>
    <row r="153" spans="5:9" x14ac:dyDescent="0.55000000000000004">
      <c r="E153" s="1">
        <v>30.5</v>
      </c>
      <c r="F153">
        <v>1</v>
      </c>
      <c r="G153" s="4">
        <f t="shared" si="8"/>
        <v>8.1966800782327279E-2</v>
      </c>
      <c r="H153" s="4">
        <f t="shared" si="9"/>
        <v>8.1961770326720168E-2</v>
      </c>
      <c r="I153" s="3">
        <v>5.0085096951703323E-2</v>
      </c>
    </row>
    <row r="154" spans="5:9" x14ac:dyDescent="0.55000000000000004">
      <c r="E154" s="1">
        <v>30.75</v>
      </c>
      <c r="F154">
        <v>1</v>
      </c>
      <c r="G154" s="4">
        <f t="shared" si="8"/>
        <v>8.130044294760462E-2</v>
      </c>
      <c r="H154" s="4">
        <f t="shared" si="9"/>
        <v>8.129589120314154E-2</v>
      </c>
      <c r="I154" s="3">
        <v>5.0110044546610374E-2</v>
      </c>
    </row>
    <row r="155" spans="5:9" x14ac:dyDescent="0.55000000000000004">
      <c r="E155" s="1">
        <v>31</v>
      </c>
      <c r="F155">
        <v>1</v>
      </c>
      <c r="G155" s="4">
        <f t="shared" si="8"/>
        <v>8.0644829146071975E-2</v>
      </c>
      <c r="H155" s="4">
        <f t="shared" si="9"/>
        <v>8.0640710557364437E-2</v>
      </c>
      <c r="I155" s="3">
        <v>5.0134590974343342E-2</v>
      </c>
    </row>
    <row r="156" spans="5:9" x14ac:dyDescent="0.55000000000000004">
      <c r="E156" s="1">
        <v>31.25</v>
      </c>
      <c r="F156">
        <v>1</v>
      </c>
      <c r="G156" s="4">
        <f t="shared" si="8"/>
        <v>7.9999701867746242E-2</v>
      </c>
      <c r="H156" s="4">
        <f t="shared" si="9"/>
        <v>7.9995975214574161E-2</v>
      </c>
      <c r="I156" s="3">
        <v>5.0158745757745322E-2</v>
      </c>
    </row>
    <row r="157" spans="5:9" x14ac:dyDescent="0.55000000000000004">
      <c r="E157" s="1">
        <v>31.5</v>
      </c>
      <c r="F157">
        <v>1</v>
      </c>
      <c r="G157" s="4">
        <f t="shared" si="8"/>
        <v>7.9364811744822683E-2</v>
      </c>
      <c r="H157" s="4">
        <f t="shared" si="9"/>
        <v>7.9361439729588548E-2</v>
      </c>
      <c r="I157" s="3">
        <v>5.0182518126390449E-2</v>
      </c>
    </row>
    <row r="158" spans="5:9" x14ac:dyDescent="0.55000000000000004">
      <c r="E158" s="1">
        <v>31.75</v>
      </c>
      <c r="F158">
        <v>1</v>
      </c>
      <c r="G158" s="4">
        <f t="shared" si="8"/>
        <v>7.8739917234208021E-2</v>
      </c>
      <c r="H158" s="4">
        <f t="shared" si="9"/>
        <v>7.873686610864998E-2</v>
      </c>
      <c r="I158" s="3">
        <v>5.0205917027359687E-2</v>
      </c>
    </row>
    <row r="159" spans="5:9" x14ac:dyDescent="0.55000000000000004">
      <c r="E159" s="1">
        <v>32</v>
      </c>
      <c r="F159">
        <v>1</v>
      </c>
      <c r="G159" s="4">
        <f t="shared" si="8"/>
        <v>7.8124784314642814E-2</v>
      </c>
      <c r="H159" s="4">
        <f t="shared" si="9"/>
        <v>7.8122023542070776E-2</v>
      </c>
      <c r="I159" s="3">
        <v>5.0228951135576294E-2</v>
      </c>
    </row>
    <row r="160" spans="5:9" x14ac:dyDescent="0.55000000000000004">
      <c r="E160" s="1">
        <v>32.25</v>
      </c>
      <c r="F160">
        <v>1</v>
      </c>
      <c r="G160" s="4">
        <f t="shared" ref="G160:G191" si="10">IF(lambda=0,1,(1-EXP(-lambda*$E160))/(lambda*$E160))</f>
        <v>7.7519186197649165E-2</v>
      </c>
      <c r="H160" s="4">
        <f t="shared" ref="H160:H191" si="11">G160-EXP(-lambda*$E160)</f>
        <v>7.7516688147323293E-2</v>
      </c>
      <c r="I160" s="3">
        <v>5.0251628863719582E-2</v>
      </c>
    </row>
    <row r="161" spans="5:9" x14ac:dyDescent="0.55000000000000004">
      <c r="E161" s="1">
        <v>32.5</v>
      </c>
      <c r="F161">
        <v>1</v>
      </c>
      <c r="G161" s="4">
        <f t="shared" si="10"/>
        <v>7.6922903051584085E-2</v>
      </c>
      <c r="H161" s="4">
        <f t="shared" si="11"/>
        <v>7.6920642722177107E-2</v>
      </c>
      <c r="I161" s="3">
        <v>5.0273958371734651E-2</v>
      </c>
    </row>
    <row r="162" spans="5:9" x14ac:dyDescent="0.55000000000000004">
      <c r="E162" s="1">
        <v>32.75</v>
      </c>
      <c r="F162">
        <v>1</v>
      </c>
      <c r="G162" s="4">
        <f t="shared" si="10"/>
        <v>7.6335721738120255E-2</v>
      </c>
      <c r="H162" s="4">
        <f t="shared" si="11"/>
        <v>7.6333676507495729E-2</v>
      </c>
      <c r="I162" s="3">
        <v>5.0295947575955367E-2</v>
      </c>
    </row>
    <row r="163" spans="5:9" x14ac:dyDescent="0.55000000000000004">
      <c r="E163" s="1">
        <v>33</v>
      </c>
      <c r="F163">
        <v>1</v>
      </c>
      <c r="G163" s="4">
        <f t="shared" si="10"/>
        <v>7.5757435560515327E-2</v>
      </c>
      <c r="H163" s="4">
        <f t="shared" si="11"/>
        <v>7.5755584959317751E-2</v>
      </c>
      <c r="I163" s="3">
        <v>5.0317604157856889E-2</v>
      </c>
    </row>
    <row r="164" spans="5:9" x14ac:dyDescent="0.55000000000000004">
      <c r="E164" s="1">
        <v>33.25</v>
      </c>
      <c r="F164">
        <v>1</v>
      </c>
      <c r="G164" s="4">
        <f t="shared" si="10"/>
        <v>7.5187844023066955E-2</v>
      </c>
      <c r="H164" s="4">
        <f t="shared" si="11"/>
        <v>7.5186169529857516E-2</v>
      </c>
      <c r="I164" s="3">
        <v>5.0338935572453697E-2</v>
      </c>
    </row>
    <row r="165" spans="5:9" x14ac:dyDescent="0.55000000000000004">
      <c r="E165" s="1">
        <v>33.5</v>
      </c>
      <c r="F165">
        <v>1</v>
      </c>
      <c r="G165" s="4">
        <f t="shared" si="10"/>
        <v>7.4626752601185661E-2</v>
      </c>
      <c r="H165" s="4">
        <f t="shared" si="11"/>
        <v>7.4625237457073515E-2</v>
      </c>
      <c r="I165" s="3">
        <v>5.03599490563581E-2</v>
      </c>
    </row>
    <row r="166" spans="5:9" x14ac:dyDescent="0.55000000000000004">
      <c r="E166" s="1">
        <v>33.75</v>
      </c>
      <c r="F166">
        <v>1</v>
      </c>
      <c r="G166" s="4">
        <f t="shared" si="10"/>
        <v>7.4073972521549153E-2</v>
      </c>
      <c r="H166" s="4">
        <f t="shared" si="11"/>
        <v>7.4072601562462773E-2</v>
      </c>
      <c r="I166" s="3">
        <v>5.0380651635513932E-2</v>
      </c>
    </row>
    <row r="167" spans="5:9" x14ac:dyDescent="0.55000000000000004">
      <c r="E167" s="1">
        <v>34</v>
      </c>
      <c r="F167">
        <v>1</v>
      </c>
      <c r="G167" s="4">
        <f t="shared" si="10"/>
        <v>7.3529320551832353E-2</v>
      </c>
      <c r="H167" s="4">
        <f t="shared" si="11"/>
        <v>7.352808005675239E-2</v>
      </c>
      <c r="I167" s="3">
        <v>5.040105013261921E-2</v>
      </c>
    </row>
    <row r="168" spans="5:9" x14ac:dyDescent="0.55000000000000004">
      <c r="E168" s="1">
        <v>34.25</v>
      </c>
      <c r="F168">
        <v>1</v>
      </c>
      <c r="G168" s="4">
        <f t="shared" si="10"/>
        <v>7.2992618799535378E-2</v>
      </c>
      <c r="H168" s="4">
        <f t="shared" si="11"/>
        <v>7.2991496353170149E-2</v>
      </c>
      <c r="I168" s="3">
        <v>5.0421151174251236E-2</v>
      </c>
    </row>
    <row r="169" spans="5:9" x14ac:dyDescent="0.55000000000000004">
      <c r="E169" s="1">
        <v>34.5</v>
      </c>
      <c r="F169">
        <v>1</v>
      </c>
      <c r="G169" s="4">
        <f t="shared" si="10"/>
        <v>7.246369451945861E-2</v>
      </c>
      <c r="H169" s="4">
        <f t="shared" si="11"/>
        <v>7.2462678887987603E-2</v>
      </c>
      <c r="I169" s="3">
        <v>5.0440961197706823E-2</v>
      </c>
    </row>
    <row r="170" spans="5:9" x14ac:dyDescent="0.55000000000000004">
      <c r="E170" s="1">
        <v>34.75</v>
      </c>
      <c r="F170">
        <v>1</v>
      </c>
      <c r="G170" s="4">
        <f t="shared" si="10"/>
        <v>7.1942379929398712E-2</v>
      </c>
      <c r="H170" s="4">
        <f t="shared" si="11"/>
        <v>7.1941460948040811E-2</v>
      </c>
      <c r="I170" s="3">
        <v>5.0460486457569967E-2</v>
      </c>
    </row>
    <row r="171" spans="5:9" x14ac:dyDescent="0.55000000000000004">
      <c r="E171" s="1">
        <v>35</v>
      </c>
      <c r="F171">
        <v>1</v>
      </c>
      <c r="G171" s="4">
        <f t="shared" si="10"/>
        <v>7.1428512033662919E-2</v>
      </c>
      <c r="H171" s="4">
        <f t="shared" si="11"/>
        <v>7.1427680504943816E-2</v>
      </c>
      <c r="I171" s="3">
        <v>5.047973303201865E-2</v>
      </c>
    </row>
    <row r="172" spans="5:9" x14ac:dyDescent="0.55000000000000004">
      <c r="E172" s="1">
        <v>35.25</v>
      </c>
      <c r="F172">
        <v>1</v>
      </c>
      <c r="G172" s="4">
        <f t="shared" si="10"/>
        <v>7.0921932454021328E-2</v>
      </c>
      <c r="H172" s="4">
        <f t="shared" si="11"/>
        <v>7.0921180055722108E-2</v>
      </c>
      <c r="I172" s="3">
        <v>5.0498706828881905E-2</v>
      </c>
    </row>
    <row r="173" spans="5:9" x14ac:dyDescent="0.55000000000000004">
      <c r="E173" s="1">
        <v>35.5</v>
      </c>
      <c r="F173">
        <v>1</v>
      </c>
      <c r="G173" s="4">
        <f t="shared" si="10"/>
        <v>7.0422487267737005E-2</v>
      </c>
      <c r="H173" s="4">
        <f t="shared" si="11"/>
        <v>7.042180646960261E-2</v>
      </c>
      <c r="I173" s="3">
        <v>5.0517413591458032E-2</v>
      </c>
    </row>
    <row r="174" spans="5:9" x14ac:dyDescent="0.55000000000000004">
      <c r="E174" s="1">
        <v>35.75</v>
      </c>
      <c r="F174">
        <v>1</v>
      </c>
      <c r="G174" s="4">
        <f t="shared" si="10"/>
        <v>6.9930026852333835E-2</v>
      </c>
      <c r="H174" s="4">
        <f t="shared" si="11"/>
        <v>6.9929410840707709E-2</v>
      </c>
      <c r="I174" s="3">
        <v>5.0535858904104079E-2</v>
      </c>
    </row>
    <row r="175" spans="5:9" x14ac:dyDescent="0.55000000000000004">
      <c r="E175" s="1">
        <v>36</v>
      </c>
      <c r="F175">
        <v>1</v>
      </c>
      <c r="G175" s="4">
        <f t="shared" si="10"/>
        <v>6.9444405736779902E-2</v>
      </c>
      <c r="H175" s="4">
        <f t="shared" si="11"/>
        <v>6.9443848346410639E-2</v>
      </c>
      <c r="I175" s="3">
        <v>5.0554048197606484E-2</v>
      </c>
    </row>
    <row r="176" spans="5:9" x14ac:dyDescent="0.55000000000000004">
      <c r="E176" s="1">
        <v>36.25</v>
      </c>
      <c r="F176">
        <v>1</v>
      </c>
      <c r="G176" s="4">
        <f t="shared" si="10"/>
        <v>6.8965482458781896E-2</v>
      </c>
      <c r="H176" s="4">
        <f t="shared" si="11"/>
        <v>6.8964978111119332E-2</v>
      </c>
      <c r="I176" s="3">
        <v>5.0571986754342137E-2</v>
      </c>
    </row>
    <row r="177" spans="5:9" x14ac:dyDescent="0.55000000000000004">
      <c r="E177" s="1">
        <v>36.5</v>
      </c>
      <c r="F177">
        <v>1</v>
      </c>
      <c r="G177" s="4">
        <f t="shared" si="10"/>
        <v>6.849311942790158E-2</v>
      </c>
      <c r="H177" s="4">
        <f t="shared" si="11"/>
        <v>6.849266307526479E-2</v>
      </c>
      <c r="I177" s="3">
        <v>5.0589679713239036E-2</v>
      </c>
    </row>
    <row r="178" spans="5:9" x14ac:dyDescent="0.55000000000000004">
      <c r="E178" s="1">
        <v>36.75</v>
      </c>
      <c r="F178">
        <v>1</v>
      </c>
      <c r="G178" s="4">
        <f t="shared" si="10"/>
        <v>6.8027182794221652E-2</v>
      </c>
      <c r="H178" s="4">
        <f t="shared" si="11"/>
        <v>6.8026769869280065E-2</v>
      </c>
      <c r="I178" s="3">
        <v>5.0607132074544793E-2</v>
      </c>
    </row>
    <row r="179" spans="5:9" x14ac:dyDescent="0.55000000000000004">
      <c r="E179" s="1">
        <v>37</v>
      </c>
      <c r="F179">
        <v>1</v>
      </c>
      <c r="G179" s="4">
        <f t="shared" si="10"/>
        <v>6.7567542322301485E-2</v>
      </c>
      <c r="H179" s="4">
        <f t="shared" si="11"/>
        <v>6.7567168692363497E-2</v>
      </c>
      <c r="I179" s="3">
        <v>5.0624348704411543E-2</v>
      </c>
    </row>
    <row r="180" spans="5:9" x14ac:dyDescent="0.55000000000000004">
      <c r="E180" s="1">
        <v>37.25</v>
      </c>
      <c r="F180">
        <v>1</v>
      </c>
      <c r="G180" s="4">
        <f t="shared" si="10"/>
        <v>6.7114071270177961E-2</v>
      </c>
      <c r="H180" s="4">
        <f t="shared" si="11"/>
        <v>6.711373319582957E-2</v>
      </c>
      <c r="I180" s="3">
        <v>5.0641334339304719E-2</v>
      </c>
    </row>
    <row r="181" spans="5:9" x14ac:dyDescent="0.55000000000000004">
      <c r="E181" s="1">
        <v>37.5</v>
      </c>
      <c r="F181">
        <v>1</v>
      </c>
      <c r="G181" s="4">
        <f t="shared" si="10"/>
        <v>6.6666646273178629E-2</v>
      </c>
      <c r="H181" s="4">
        <f t="shared" si="11"/>
        <v>6.6666340370858126E-2</v>
      </c>
      <c r="I181" s="3">
        <v>5.0658093590243404E-2</v>
      </c>
    </row>
    <row r="182" spans="5:9" x14ac:dyDescent="0.55000000000000004">
      <c r="E182" s="1">
        <v>37.75</v>
      </c>
      <c r="F182">
        <v>1</v>
      </c>
      <c r="G182" s="4">
        <f t="shared" si="10"/>
        <v>6.6225147232326753E-2</v>
      </c>
      <c r="H182" s="4">
        <f t="shared" si="11"/>
        <v>6.6224870440460895E-2</v>
      </c>
      <c r="I182" s="3">
        <v>5.0674630946879351E-2</v>
      </c>
    </row>
    <row r="183" spans="5:9" x14ac:dyDescent="0.55000000000000004">
      <c r="E183" s="1">
        <v>38</v>
      </c>
      <c r="F183">
        <v>1</v>
      </c>
      <c r="G183" s="4">
        <f t="shared" si="10"/>
        <v>6.5789457207129129E-2</v>
      </c>
      <c r="H183" s="4">
        <f t="shared" si="11"/>
        <v>6.5789206755491894E-2</v>
      </c>
      <c r="I183" s="3">
        <v>5.0690950781421405E-2</v>
      </c>
    </row>
    <row r="184" spans="5:9" x14ac:dyDescent="0.55000000000000004">
      <c r="E184" s="1">
        <v>38.25</v>
      </c>
      <c r="F184">
        <v>1</v>
      </c>
      <c r="G184" s="4">
        <f t="shared" si="10"/>
        <v>6.5359462312548175E-2</v>
      </c>
      <c r="H184" s="4">
        <f t="shared" si="11"/>
        <v>6.5359235694535403E-2</v>
      </c>
      <c r="I184" s="3">
        <v>5.0707057352411947E-2</v>
      </c>
    </row>
    <row r="185" spans="5:9" x14ac:dyDescent="0.55000000000000004">
      <c r="E185" s="1">
        <v>38.5</v>
      </c>
      <c r="F185">
        <v>1</v>
      </c>
      <c r="G185" s="4">
        <f t="shared" si="10"/>
        <v>6.4935051619970291E-2</v>
      </c>
      <c r="H185" s="4">
        <f t="shared" si="11"/>
        <v>6.4934846567512736E-2</v>
      </c>
      <c r="I185" s="3">
        <v>5.0722954808361476E-2</v>
      </c>
    </row>
    <row r="186" spans="5:9" x14ac:dyDescent="0.55000000000000004">
      <c r="E186" s="1">
        <v>38.75</v>
      </c>
      <c r="F186">
        <v>1</v>
      </c>
      <c r="G186" s="4">
        <f t="shared" si="10"/>
        <v>6.4516117061991202E-2</v>
      </c>
      <c r="H186" s="4">
        <f t="shared" si="11"/>
        <v>6.4515931522854938E-2</v>
      </c>
      <c r="I186" s="3">
        <v>5.0738647191247467E-2</v>
      </c>
    </row>
    <row r="187" spans="5:9" x14ac:dyDescent="0.55000000000000004">
      <c r="E187" s="1">
        <v>39</v>
      </c>
      <c r="F187">
        <v>1</v>
      </c>
      <c r="G187" s="4">
        <f t="shared" si="10"/>
        <v>6.4102553340849161E-2</v>
      </c>
      <c r="H187" s="4">
        <f t="shared" si="11"/>
        <v>6.4102385458096156E-2</v>
      </c>
      <c r="I187" s="3">
        <v>5.0754138439882898E-2</v>
      </c>
    </row>
    <row r="188" spans="5:9" x14ac:dyDescent="0.55000000000000004">
      <c r="E188" s="1">
        <v>39.25</v>
      </c>
      <c r="F188">
        <v>1</v>
      </c>
      <c r="G188" s="4">
        <f t="shared" si="10"/>
        <v>6.3694257840344146E-2</v>
      </c>
      <c r="H188" s="4">
        <f t="shared" si="11"/>
        <v>6.3694105933747386E-2</v>
      </c>
      <c r="I188" s="3">
        <v>5.0769432393160105E-2</v>
      </c>
    </row>
    <row r="189" spans="5:9" x14ac:dyDescent="0.55000000000000004">
      <c r="E189" s="1">
        <v>39.5</v>
      </c>
      <c r="F189">
        <v>1</v>
      </c>
      <c r="G189" s="4">
        <f t="shared" si="10"/>
        <v>6.3291130541090326E-2</v>
      </c>
      <c r="H189" s="4">
        <f t="shared" si="11"/>
        <v>6.3290993090317535E-2</v>
      </c>
      <c r="I189" s="3">
        <v>5.078453279317513E-2</v>
      </c>
    </row>
    <row r="190" spans="5:9" x14ac:dyDescent="0.55000000000000004">
      <c r="E190" s="1">
        <v>39.75</v>
      </c>
      <c r="F190">
        <v>1</v>
      </c>
      <c r="G190" s="4">
        <f t="shared" si="10"/>
        <v>6.2893073938955824E-2</v>
      </c>
      <c r="H190" s="4">
        <f t="shared" si="11"/>
        <v>6.2892949568353465E-2</v>
      </c>
      <c r="I190" s="3">
        <v>5.0799443288237336E-2</v>
      </c>
    </row>
    <row r="191" spans="5:9" x14ac:dyDescent="0.55000000000000004">
      <c r="E191" s="1">
        <v>40</v>
      </c>
      <c r="F191">
        <v>1</v>
      </c>
      <c r="G191" s="4">
        <f t="shared" si="10"/>
        <v>6.2499992966551579E-2</v>
      </c>
      <c r="H191" s="4">
        <f t="shared" si="11"/>
        <v>6.2499880431376859E-2</v>
      </c>
      <c r="I191" s="3">
        <v>5.081416743576922E-2</v>
      </c>
    </row>
    <row r="192" spans="5:9" x14ac:dyDescent="0.55000000000000004">
      <c r="E192" s="1">
        <v>40.25</v>
      </c>
      <c r="F192">
        <v>1</v>
      </c>
      <c r="G192" s="4">
        <f t="shared" ref="G192:G223" si="12">IF(lambda=0,1,(1-EXP(-lambda*$E192))/(lambda*$E192))</f>
        <v>6.211179491763745E-2</v>
      </c>
      <c r="H192" s="4">
        <f t="shared" ref="H192:H223" si="13">G192-EXP(-lambda*$E192)</f>
        <v>6.2111693091600521E-2</v>
      </c>
      <c r="I192" s="3">
        <v>5.0828708705100832E-2</v>
      </c>
    </row>
    <row r="193" spans="5:9" x14ac:dyDescent="0.55000000000000004">
      <c r="E193" s="1">
        <v>40.5</v>
      </c>
      <c r="F193">
        <v>1</v>
      </c>
      <c r="G193" s="4">
        <f t="shared" si="12"/>
        <v>6.1728389374320472E-2</v>
      </c>
      <c r="H193" s="4">
        <f t="shared" si="13"/>
        <v>6.1728297238312128E-2</v>
      </c>
      <c r="I193" s="3">
        <v>5.0843070480163184E-2</v>
      </c>
    </row>
    <row r="194" spans="5:9" x14ac:dyDescent="0.55000000000000004">
      <c r="E194" s="1">
        <v>40.75</v>
      </c>
      <c r="F194">
        <v>1</v>
      </c>
      <c r="G194" s="4">
        <f t="shared" si="12"/>
        <v>6.1349688136925894E-2</v>
      </c>
      <c r="H194" s="4">
        <f t="shared" si="13"/>
        <v>6.1349604768817997E-2</v>
      </c>
      <c r="I194" s="3">
        <v>5.0857256062084688E-2</v>
      </c>
    </row>
    <row r="195" spans="5:9" x14ac:dyDescent="0.55000000000000004">
      <c r="E195" s="1">
        <v>41</v>
      </c>
      <c r="F195">
        <v>1</v>
      </c>
      <c r="G195" s="4">
        <f t="shared" si="12"/>
        <v>6.0975605156427831E-2</v>
      </c>
      <c r="H195" s="4">
        <f t="shared" si="13"/>
        <v>6.0975529721844335E-2</v>
      </c>
      <c r="I195" s="3">
        <v>5.0871268671694676E-2</v>
      </c>
    </row>
    <row r="196" spans="5:9" x14ac:dyDescent="0.55000000000000004">
      <c r="E196" s="1">
        <v>41.25</v>
      </c>
      <c r="F196">
        <v>1</v>
      </c>
      <c r="G196" s="4">
        <f t="shared" si="12"/>
        <v>6.0606056469331288E-2</v>
      </c>
      <c r="H196" s="4">
        <f t="shared" si="13"/>
        <v>6.0605988213297525E-2</v>
      </c>
      <c r="I196" s="3">
        <v>5.0885111451937665E-2</v>
      </c>
    </row>
    <row r="197" spans="5:9" x14ac:dyDescent="0.55000000000000004">
      <c r="E197" s="1">
        <v>41.5</v>
      </c>
      <c r="F197">
        <v>1</v>
      </c>
      <c r="G197" s="4">
        <f t="shared" si="12"/>
        <v>6.02409601349028E-2</v>
      </c>
      <c r="H197" s="4">
        <f t="shared" si="13"/>
        <v>6.0240898374289448E-2</v>
      </c>
      <c r="I197" s="3">
        <v>5.08987874702021E-2</v>
      </c>
    </row>
    <row r="198" spans="5:9" x14ac:dyDescent="0.55000000000000004">
      <c r="E198" s="1">
        <v>41.75</v>
      </c>
      <c r="F198">
        <v>1</v>
      </c>
      <c r="G198" s="4">
        <f t="shared" si="12"/>
        <v>5.9880236174651859E-2</v>
      </c>
      <c r="H198" s="4">
        <f t="shared" si="13"/>
        <v>5.9880180291337931E-2</v>
      </c>
      <c r="I198" s="3">
        <v>5.0912299720566809E-2</v>
      </c>
    </row>
    <row r="199" spans="5:9" x14ac:dyDescent="0.55000000000000004">
      <c r="E199" s="1">
        <v>42</v>
      </c>
      <c r="F199">
        <v>1</v>
      </c>
      <c r="G199" s="4">
        <f t="shared" si="12"/>
        <v>5.9523806513969435E-2</v>
      </c>
      <c r="H199" s="4">
        <f t="shared" si="13"/>
        <v>5.952375594865595E-2</v>
      </c>
      <c r="I199" s="3">
        <v>5.0925651125968745E-2</v>
      </c>
    </row>
    <row r="200" spans="5:9" x14ac:dyDescent="0.55000000000000004">
      <c r="E200" s="1">
        <v>42.25</v>
      </c>
      <c r="F200">
        <v>1</v>
      </c>
      <c r="G200" s="4">
        <f t="shared" si="12"/>
        <v>5.9171594925835035E-2</v>
      </c>
      <c r="H200" s="4">
        <f t="shared" si="13"/>
        <v>5.9171549172447338E-2</v>
      </c>
      <c r="I200" s="3">
        <v>5.0938844540294889E-2</v>
      </c>
    </row>
    <row r="201" spans="5:9" x14ac:dyDescent="0.55000000000000004">
      <c r="E201" s="1">
        <v>42.5</v>
      </c>
      <c r="F201">
        <v>1</v>
      </c>
      <c r="G201" s="4">
        <f t="shared" si="12"/>
        <v>5.8823526976507223E-2</v>
      </c>
      <c r="H201" s="4">
        <f t="shared" si="13"/>
        <v>5.8823485577130033E-2</v>
      </c>
      <c r="I201" s="3">
        <v>5.0951882750401509E-2</v>
      </c>
    </row>
    <row r="202" spans="5:9" x14ac:dyDescent="0.55000000000000004">
      <c r="E202" s="1">
        <v>42.75</v>
      </c>
      <c r="F202">
        <v>1</v>
      </c>
      <c r="G202" s="4">
        <f t="shared" si="12"/>
        <v>5.8479529973116631E-2</v>
      </c>
      <c r="H202" s="4">
        <f t="shared" si="13"/>
        <v>5.8479492513411072E-2</v>
      </c>
      <c r="I202" s="3">
        <v>5.0964768478063575E-2</v>
      </c>
    </row>
    <row r="203" spans="5:9" x14ac:dyDescent="0.55000000000000004">
      <c r="E203" s="1">
        <v>43</v>
      </c>
      <c r="F203">
        <v>1</v>
      </c>
      <c r="G203" s="4">
        <f t="shared" si="12"/>
        <v>5.8139532913084692E-2</v>
      </c>
      <c r="H203" s="4">
        <f t="shared" si="13"/>
        <v>5.813949901814143E-2</v>
      </c>
      <c r="I203" s="3">
        <v>5.0977504381857094E-2</v>
      </c>
    </row>
    <row r="204" spans="5:9" x14ac:dyDescent="0.55000000000000004">
      <c r="E204" s="1">
        <v>43.25</v>
      </c>
      <c r="F204">
        <v>1</v>
      </c>
      <c r="G204" s="4">
        <f t="shared" si="12"/>
        <v>5.7803466435294049E-2</v>
      </c>
      <c r="H204" s="4">
        <f t="shared" si="13"/>
        <v>5.7803435765881102E-2</v>
      </c>
      <c r="I204" s="3">
        <v>5.0990093058976997E-2</v>
      </c>
    </row>
    <row r="205" spans="5:9" x14ac:dyDescent="0.55000000000000004">
      <c r="E205" s="1">
        <v>43.5</v>
      </c>
      <c r="F205">
        <v>1</v>
      </c>
      <c r="G205" s="4">
        <f t="shared" si="12"/>
        <v>5.7471262772940658E-2</v>
      </c>
      <c r="H205" s="4">
        <f t="shared" si="13"/>
        <v>5.7471235022108234E-2</v>
      </c>
      <c r="I205" s="3">
        <v>5.1002537046993111E-2</v>
      </c>
    </row>
    <row r="206" spans="5:9" x14ac:dyDescent="0.55000000000000004">
      <c r="E206" s="1">
        <v>43.75</v>
      </c>
      <c r="F206">
        <v>1</v>
      </c>
      <c r="G206" s="4">
        <f t="shared" si="12"/>
        <v>5.7142855708000484E-2</v>
      </c>
      <c r="H206" s="4">
        <f t="shared" si="13"/>
        <v>5.7142830598008926E-2</v>
      </c>
      <c r="I206" s="3">
        <v>5.101483882554661E-2</v>
      </c>
    </row>
    <row r="207" spans="5:9" x14ac:dyDescent="0.55000000000000004">
      <c r="E207" s="1">
        <v>44</v>
      </c>
      <c r="F207">
        <v>1</v>
      </c>
      <c r="G207" s="4">
        <f t="shared" si="12"/>
        <v>5.681818052724659E-2</v>
      </c>
      <c r="H207" s="4">
        <f t="shared" si="13"/>
        <v>5.6818157806786659E-2</v>
      </c>
      <c r="I207" s="3">
        <v>5.1027000817989263E-2</v>
      </c>
    </row>
    <row r="208" spans="5:9" x14ac:dyDescent="0.55000000000000004">
      <c r="E208" s="1">
        <v>44.25</v>
      </c>
      <c r="F208">
        <v>1</v>
      </c>
      <c r="G208" s="4">
        <f t="shared" si="12"/>
        <v>5.6497173979755809E-2</v>
      </c>
      <c r="H208" s="4">
        <f t="shared" si="13"/>
        <v>5.6497153421433514E-2</v>
      </c>
      <c r="I208" s="3">
        <v>5.1039025392967688E-2</v>
      </c>
    </row>
    <row r="209" spans="5:9" x14ac:dyDescent="0.55000000000000004">
      <c r="E209" s="1">
        <v>44.5</v>
      </c>
      <c r="F209">
        <v>1</v>
      </c>
      <c r="G209" s="4">
        <f t="shared" si="12"/>
        <v>5.6179774235846101E-2</v>
      </c>
      <c r="H209" s="4">
        <f t="shared" si="13"/>
        <v>5.6179755633906835E-2</v>
      </c>
      <c r="I209" s="3">
        <v>5.1050914865954714E-2</v>
      </c>
    </row>
    <row r="210" spans="5:9" x14ac:dyDescent="0.55000000000000004">
      <c r="E210" s="1">
        <v>44.75</v>
      </c>
      <c r="F210">
        <v>1</v>
      </c>
      <c r="G210" s="4">
        <f t="shared" si="12"/>
        <v>5.5865920847389339E-2</v>
      </c>
      <c r="H210" s="4">
        <f t="shared" si="13"/>
        <v>5.5865904015658642E-2</v>
      </c>
      <c r="I210" s="3">
        <v>5.106267150072985E-2</v>
      </c>
    </row>
    <row r="211" spans="5:9" x14ac:dyDescent="0.55000000000000004">
      <c r="E211" s="1">
        <v>45</v>
      </c>
      <c r="F211">
        <v>1</v>
      </c>
      <c r="G211" s="4">
        <f t="shared" si="12"/>
        <v>5.5555554709445572E-2</v>
      </c>
      <c r="H211" s="4">
        <f t="shared" si="13"/>
        <v>5.5555539479465829E-2</v>
      </c>
      <c r="I211" s="3">
        <v>5.1074297510810898E-2</v>
      </c>
    </row>
    <row r="212" spans="5:9" x14ac:dyDescent="0.55000000000000004">
      <c r="E212" s="1">
        <v>45.25</v>
      </c>
      <c r="F212">
        <v>1</v>
      </c>
      <c r="G212" s="4">
        <f t="shared" si="12"/>
        <v>5.5248618023168203E-2</v>
      </c>
      <c r="H212" s="4">
        <f t="shared" si="13"/>
        <v>5.5248604242512656E-2</v>
      </c>
      <c r="I212" s="3">
        <v>5.1085795060838442E-2</v>
      </c>
    </row>
    <row r="213" spans="5:9" x14ac:dyDescent="0.55000000000000004">
      <c r="E213" s="1">
        <v>45.5</v>
      </c>
      <c r="F213">
        <v>1</v>
      </c>
      <c r="G213" s="4">
        <f t="shared" si="12"/>
        <v>5.4945054259931167E-2</v>
      </c>
      <c r="H213" s="4">
        <f t="shared" si="13"/>
        <v>5.4945041790678384E-2</v>
      </c>
      <c r="I213" s="3">
        <v>5.109716626791503E-2</v>
      </c>
    </row>
    <row r="214" spans="5:9" x14ac:dyDescent="0.55000000000000004">
      <c r="E214" s="1">
        <v>45.75</v>
      </c>
      <c r="F214">
        <v>1</v>
      </c>
      <c r="G214" s="4">
        <f t="shared" si="12"/>
        <v>5.464480812663134E-2</v>
      </c>
      <c r="H214" s="4">
        <f t="shared" si="13"/>
        <v>5.4644796843984843E-2</v>
      </c>
      <c r="I214" s="3">
        <v>5.1108413202900806E-2</v>
      </c>
    </row>
    <row r="215" spans="5:9" x14ac:dyDescent="0.55000000000000004">
      <c r="E215" s="1">
        <v>46</v>
      </c>
      <c r="F215">
        <v>1</v>
      </c>
      <c r="G215" s="4">
        <f t="shared" si="12"/>
        <v>5.4347825532121696E-2</v>
      </c>
      <c r="H215" s="4">
        <f t="shared" si="13"/>
        <v>5.4347815323160971E-2</v>
      </c>
      <c r="I215" s="3">
        <v>5.111953789166717E-2</v>
      </c>
    </row>
    <row r="216" spans="5:9" x14ac:dyDescent="0.55000000000000004">
      <c r="E216" s="1">
        <v>46.25</v>
      </c>
      <c r="F216">
        <v>1</v>
      </c>
      <c r="G216" s="4">
        <f t="shared" si="12"/>
        <v>5.4054053554732452E-2</v>
      </c>
      <c r="H216" s="4">
        <f t="shared" si="13"/>
        <v>5.4054044317282793E-2</v>
      </c>
      <c r="I216" s="3">
        <v>5.1130542316310014E-2</v>
      </c>
    </row>
    <row r="217" spans="5:9" x14ac:dyDescent="0.55000000000000004">
      <c r="E217" s="1">
        <v>46.5</v>
      </c>
      <c r="F217">
        <v>1</v>
      </c>
      <c r="G217" s="4">
        <f t="shared" si="12"/>
        <v>5.376344041083924E-2</v>
      </c>
      <c r="H217" s="4">
        <f t="shared" si="13"/>
        <v>5.3763432052449142E-2</v>
      </c>
      <c r="I217" s="3">
        <v>5.1141428416324061E-2</v>
      </c>
    </row>
    <row r="218" spans="5:9" x14ac:dyDescent="0.55000000000000004">
      <c r="E218" s="1">
        <v>46.75</v>
      </c>
      <c r="F218">
        <v>1</v>
      </c>
      <c r="G218" s="4">
        <f t="shared" si="12"/>
        <v>5.3475935424439354E-2</v>
      </c>
      <c r="H218" s="4">
        <f t="shared" si="13"/>
        <v>5.3475927861455233E-2</v>
      </c>
      <c r="I218" s="3">
        <v>5.1152198089739781E-2</v>
      </c>
    </row>
    <row r="219" spans="5:9" x14ac:dyDescent="0.55000000000000004">
      <c r="E219" s="1">
        <v>47</v>
      </c>
      <c r="F219">
        <v>1</v>
      </c>
      <c r="G219" s="4">
        <f t="shared" si="12"/>
        <v>5.3191488997698343E-2</v>
      </c>
      <c r="H219" s="4">
        <f t="shared" si="13"/>
        <v>5.3191482154427323E-2</v>
      </c>
      <c r="I219" s="3">
        <v>5.116285319422418E-2</v>
      </c>
    </row>
    <row r="220" spans="5:9" x14ac:dyDescent="0.55000000000000004">
      <c r="E220" s="1">
        <v>47.25</v>
      </c>
      <c r="F220">
        <v>1</v>
      </c>
      <c r="G220" s="4">
        <f t="shared" si="12"/>
        <v>5.2910052582431338E-2</v>
      </c>
      <c r="H220" s="4">
        <f t="shared" si="13"/>
        <v>5.2910046390383658E-2</v>
      </c>
      <c r="I220" s="3">
        <v>5.1173395548146774E-2</v>
      </c>
    </row>
    <row r="221" spans="5:9" x14ac:dyDescent="0.55000000000000004">
      <c r="E221" s="1">
        <v>47.5</v>
      </c>
      <c r="F221">
        <v>1</v>
      </c>
      <c r="G221" s="4">
        <f t="shared" si="12"/>
        <v>5.2631578652484398E-2</v>
      </c>
      <c r="H221" s="4">
        <f t="shared" si="13"/>
        <v>5.2631573049687963E-2</v>
      </c>
      <c r="I221" s="3">
        <v>5.1183826931612199E-2</v>
      </c>
    </row>
    <row r="222" spans="5:9" x14ac:dyDescent="0.55000000000000004">
      <c r="E222" s="1">
        <v>47.75</v>
      </c>
      <c r="F222">
        <v>1</v>
      </c>
      <c r="G222" s="4">
        <f t="shared" si="12"/>
        <v>5.235602067698325E-2</v>
      </c>
      <c r="H222" s="4">
        <f t="shared" si="13"/>
        <v>5.2356015607363388E-2</v>
      </c>
      <c r="I222" s="3">
        <v>5.1194149087460332E-2</v>
      </c>
    </row>
    <row r="223" spans="5:9" x14ac:dyDescent="0.55000000000000004">
      <c r="E223" s="1">
        <v>48</v>
      </c>
      <c r="F223">
        <v>1</v>
      </c>
      <c r="G223" s="4">
        <f t="shared" si="12"/>
        <v>5.2083333094417608E-2</v>
      </c>
      <c r="H223" s="4">
        <f t="shared" si="13"/>
        <v>5.2083328507235863E-2</v>
      </c>
      <c r="I223" s="3">
        <v>5.1204363722235469E-2</v>
      </c>
    </row>
    <row r="224" spans="5:9" x14ac:dyDescent="0.55000000000000004">
      <c r="E224" s="1">
        <v>48.25</v>
      </c>
      <c r="F224">
        <v>1</v>
      </c>
      <c r="G224" s="4">
        <f t="shared" ref="G224:G231" si="14">IF(lambda=0,1,(1-EXP(-lambda*$E224))/(lambda*$E224))</f>
        <v>5.1813471287530895E-2</v>
      </c>
      <c r="H224" s="4">
        <f t="shared" ref="H224:H231" si="15">G224-EXP(-lambda*$E224)</f>
        <v>5.1813467136877206E-2</v>
      </c>
      <c r="I224" s="3">
        <v>5.1214472507125394E-2</v>
      </c>
    </row>
    <row r="225" spans="5:9" x14ac:dyDescent="0.55000000000000004">
      <c r="E225" s="1">
        <v>48.5</v>
      </c>
      <c r="F225">
        <v>1</v>
      </c>
      <c r="G225" s="4">
        <f t="shared" si="14"/>
        <v>5.1546391558986243E-2</v>
      </c>
      <c r="H225" s="4">
        <f t="shared" si="15"/>
        <v>5.1546387803319479E-2</v>
      </c>
      <c r="I225" s="3">
        <v>5.1224477078871525E-2</v>
      </c>
    </row>
    <row r="226" spans="5:9" x14ac:dyDescent="0.55000000000000004">
      <c r="E226" s="1">
        <v>48.75</v>
      </c>
      <c r="F226">
        <v>1</v>
      </c>
      <c r="G226" s="4">
        <f t="shared" si="14"/>
        <v>5.128205110778114E-2</v>
      </c>
      <c r="H226" s="4">
        <f t="shared" si="15"/>
        <v>5.128204770951332E-2</v>
      </c>
      <c r="I226" s="3">
        <v>5.1234379040651173E-2</v>
      </c>
    </row>
    <row r="227" spans="5:9" x14ac:dyDescent="0.55000000000000004">
      <c r="E227" s="1">
        <v>49</v>
      </c>
      <c r="F227">
        <v>1</v>
      </c>
      <c r="G227" s="4">
        <f t="shared" si="14"/>
        <v>5.1020408006383675E-2</v>
      </c>
      <c r="H227" s="4">
        <f t="shared" si="15"/>
        <v>5.1020404931503796E-2</v>
      </c>
      <c r="I227" s="3">
        <v>5.1244179962932866E-2</v>
      </c>
    </row>
    <row r="228" spans="5:9" x14ac:dyDescent="0.55000000000000004">
      <c r="E228" s="1">
        <v>49.25</v>
      </c>
      <c r="F228">
        <v>1</v>
      </c>
      <c r="G228" s="4">
        <f t="shared" si="14"/>
        <v>5.076142117856515E-2</v>
      </c>
      <c r="H228" s="4">
        <f t="shared" si="15"/>
        <v>5.0761418396298781E-2</v>
      </c>
      <c r="I228" s="3">
        <v>5.1253881384305706E-2</v>
      </c>
    </row>
    <row r="229" spans="5:9" x14ac:dyDescent="0.55000000000000004">
      <c r="E229" s="1">
        <v>49.5</v>
      </c>
      <c r="F229">
        <v>1</v>
      </c>
      <c r="G229" s="4">
        <f t="shared" si="14"/>
        <v>5.05050503779041E-2</v>
      </c>
      <c r="H229" s="4">
        <f t="shared" si="15"/>
        <v>5.0505047860405383E-2</v>
      </c>
      <c r="I229" s="3">
        <v>5.1263484812283662E-2</v>
      </c>
    </row>
    <row r="230" spans="5:9" x14ac:dyDescent="0.55000000000000004">
      <c r="E230" s="1">
        <v>49.75</v>
      </c>
      <c r="F230">
        <v>1</v>
      </c>
      <c r="G230" s="4">
        <f t="shared" si="14"/>
        <v>5.0251256166938332E-2</v>
      </c>
      <c r="H230" s="4">
        <f t="shared" si="15"/>
        <v>5.0251253889011291E-2</v>
      </c>
      <c r="I230" s="3">
        <v>5.1272991724085698E-2</v>
      </c>
    </row>
    <row r="231" spans="5:9" x14ac:dyDescent="0.55000000000000004">
      <c r="E231" s="1">
        <v>50</v>
      </c>
      <c r="F231">
        <v>1</v>
      </c>
      <c r="G231" s="4">
        <f t="shared" si="14"/>
        <v>4.9999999896942322E-2</v>
      </c>
      <c r="H231" s="4">
        <f t="shared" si="15"/>
        <v>4.99999978357887E-2</v>
      </c>
      <c r="I231" s="3">
        <v>5.1282403567392547E-2</v>
      </c>
    </row>
  </sheetData>
  <mergeCells count="1">
    <mergeCell ref="L37:M37"/>
  </mergeCells>
  <pageMargins left="0.7" right="0.7" top="0.75" bottom="0.75" header="0.3" footer="0.3"/>
  <pageSetup paperSize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231"/>
  <sheetViews>
    <sheetView workbookViewId="0">
      <selection activeCell="R33" sqref="R33"/>
    </sheetView>
  </sheetViews>
  <sheetFormatPr defaultRowHeight="14.4" x14ac:dyDescent="0.55000000000000004"/>
  <cols>
    <col min="1" max="1" width="2.15625" customWidth="1"/>
    <col min="2" max="2" width="11.15625" customWidth="1"/>
    <col min="3" max="3" width="12.83984375" customWidth="1"/>
    <col min="4" max="4" width="2.15625" customWidth="1"/>
    <col min="6" max="9" width="10" customWidth="1"/>
    <col min="10" max="10" width="9.68359375" customWidth="1"/>
    <col min="13" max="13" width="9.83984375" bestFit="1" customWidth="1"/>
    <col min="14" max="14" width="12.41796875" bestFit="1" customWidth="1"/>
    <col min="15" max="15" width="11.578125" bestFit="1" customWidth="1"/>
    <col min="16" max="16" width="10.68359375" customWidth="1"/>
    <col min="17" max="17" width="8.41796875" customWidth="1"/>
    <col min="18" max="18" width="11.578125" bestFit="1" customWidth="1"/>
  </cols>
  <sheetData>
    <row r="2" spans="4:4" x14ac:dyDescent="0.55000000000000004">
      <c r="D2" s="5"/>
    </row>
    <row r="3" spans="4:4" x14ac:dyDescent="0.55000000000000004">
      <c r="D3" s="5"/>
    </row>
    <row r="4" spans="4:4" x14ac:dyDescent="0.55000000000000004">
      <c r="D4" s="5"/>
    </row>
    <row r="5" spans="4:4" x14ac:dyDescent="0.55000000000000004">
      <c r="D5" s="5"/>
    </row>
    <row r="30" spans="2:15" x14ac:dyDescent="0.55000000000000004">
      <c r="B30" t="s">
        <v>0</v>
      </c>
      <c r="C30" s="5">
        <v>0.60899999999999999</v>
      </c>
      <c r="E30" s="6" t="s">
        <v>1</v>
      </c>
      <c r="F30" s="6" t="s">
        <v>2</v>
      </c>
      <c r="G30" s="6" t="s">
        <v>3</v>
      </c>
      <c r="H30" s="6" t="s">
        <v>4</v>
      </c>
      <c r="I30" s="6" t="s">
        <v>17</v>
      </c>
      <c r="J30" s="6" t="s">
        <v>8</v>
      </c>
      <c r="L30" s="9" t="s">
        <v>13</v>
      </c>
      <c r="M30" s="10">
        <v>1</v>
      </c>
      <c r="N30" s="8" t="s">
        <v>15</v>
      </c>
      <c r="O30" s="14">
        <f>SUMXMY2(M32:M35,O32:O35)</f>
        <v>6.3129558781960804E-14</v>
      </c>
    </row>
    <row r="31" spans="2:15" x14ac:dyDescent="0.55000000000000004">
      <c r="B31" t="s">
        <v>5</v>
      </c>
      <c r="C31" s="5">
        <v>-1.0195440974419935E-2</v>
      </c>
      <c r="E31">
        <v>0</v>
      </c>
      <c r="F31">
        <v>1</v>
      </c>
      <c r="G31">
        <v>1</v>
      </c>
      <c r="H31">
        <v>0</v>
      </c>
      <c r="I31">
        <v>0</v>
      </c>
      <c r="J31" s="3">
        <f t="array" ref="J31:J231">MMULT(F31:I231,C31:C34)</f>
        <v>6.9472509948190729E-4</v>
      </c>
      <c r="L31" t="s">
        <v>9</v>
      </c>
      <c r="M31" t="s">
        <v>11</v>
      </c>
      <c r="N31" s="10" t="s">
        <v>14</v>
      </c>
      <c r="O31" t="s">
        <v>12</v>
      </c>
    </row>
    <row r="32" spans="2:15" x14ac:dyDescent="0.55000000000000004">
      <c r="B32" t="s">
        <v>6</v>
      </c>
      <c r="C32" s="5">
        <v>1.0890166073901843E-2</v>
      </c>
      <c r="E32" s="1">
        <v>0.25</v>
      </c>
      <c r="F32">
        <v>1</v>
      </c>
      <c r="G32" s="4">
        <f t="shared" ref="G32:G63" si="0">IF(lambda=0,1,(1-EXP(-lambda*$E32))/(lambda*$E32))</f>
        <v>0.92759566166118101</v>
      </c>
      <c r="H32" s="4">
        <f t="shared" ref="H32:H63" si="1">G32-EXP(-lambda*$E32)</f>
        <v>6.8822101149095816E-2</v>
      </c>
      <c r="I32" s="4">
        <f t="shared" ref="I32:I63" si="2">IF(gamma=0,0,(1-EXP(-gamma*$E32))/(gamma*$E32)-EXP(-gamma*$E32))</f>
        <v>2.4602757177192291E-3</v>
      </c>
      <c r="J32" s="3">
        <v>9.9971112986186727E-5</v>
      </c>
      <c r="L32" s="1">
        <v>0.25</v>
      </c>
      <c r="M32" s="7">
        <f>IF($M$30=1,N32,LOOKUP(L32,$L$39:$L$99,$M$39:$M$99))</f>
        <v>1E-4</v>
      </c>
      <c r="N32" s="11">
        <v>1E-4</v>
      </c>
      <c r="O32" s="7">
        <f>LOOKUP(L32,$E$31:$E$231,$J$31:$J$231)</f>
        <v>9.9971112986186727E-5</v>
      </c>
    </row>
    <row r="33" spans="2:15" x14ac:dyDescent="0.55000000000000004">
      <c r="B33" t="s">
        <v>7</v>
      </c>
      <c r="C33" s="5">
        <v>-3.3538427565335933E-3</v>
      </c>
      <c r="E33" s="1">
        <v>0.5</v>
      </c>
      <c r="F33">
        <v>1</v>
      </c>
      <c r="G33" s="4">
        <f t="shared" si="0"/>
        <v>0.8620951453707586</v>
      </c>
      <c r="H33" s="4">
        <f t="shared" si="1"/>
        <v>0.12460311713615457</v>
      </c>
      <c r="I33" s="4">
        <f t="shared" si="2"/>
        <v>4.9043936035751967E-3</v>
      </c>
      <c r="J33" s="3">
        <v>-3.7864964726754143E-4</v>
      </c>
      <c r="L33" s="1">
        <v>5</v>
      </c>
      <c r="M33" s="7">
        <f>IF($M$30=1,N33,LOOKUP(L33,$L$39:$L$99,$M$39:$M$99))</f>
        <v>2.9999999999999997E-4</v>
      </c>
      <c r="N33" s="12">
        <v>2.9999999999999997E-4</v>
      </c>
      <c r="O33" s="7">
        <f t="shared" ref="O33:O35" si="3">LOOKUP(L33,$E$31:$E$231,$J$31:$J$231)</f>
        <v>3.0001854412762142E-4</v>
      </c>
    </row>
    <row r="34" spans="2:15" x14ac:dyDescent="0.55000000000000004">
      <c r="B34" t="s">
        <v>18</v>
      </c>
      <c r="C34" s="5">
        <v>0.17256593838470122</v>
      </c>
      <c r="E34" s="1">
        <v>0.75</v>
      </c>
      <c r="F34">
        <v>1</v>
      </c>
      <c r="G34" s="4">
        <f t="shared" si="0"/>
        <v>0.80276156554721367</v>
      </c>
      <c r="H34" s="4">
        <f t="shared" si="1"/>
        <v>0.16942291061090353</v>
      </c>
      <c r="I34" s="4">
        <f t="shared" si="2"/>
        <v>7.3324431858723393E-3</v>
      </c>
      <c r="J34" s="3">
        <v>-7.5612207038598797E-4</v>
      </c>
      <c r="L34" s="1">
        <v>10</v>
      </c>
      <c r="M34" s="7">
        <f>IF($M$30=1,N34,LOOKUP(L34,$L$39:$L$99,$M$39:$M$99))</f>
        <v>6.0000000000000001E-3</v>
      </c>
      <c r="N34" s="12">
        <v>6.0000000000000001E-3</v>
      </c>
      <c r="O34" s="7">
        <f t="shared" si="3"/>
        <v>5.9998593023071235E-3</v>
      </c>
    </row>
    <row r="35" spans="2:15" x14ac:dyDescent="0.55000000000000004">
      <c r="B35" t="s">
        <v>16</v>
      </c>
      <c r="C35" s="5">
        <v>1.9747076756003585E-2</v>
      </c>
      <c r="E35" s="1">
        <v>1</v>
      </c>
      <c r="F35">
        <v>1</v>
      </c>
      <c r="G35" s="4">
        <f t="shared" si="0"/>
        <v>0.74894172133072268</v>
      </c>
      <c r="H35" s="4">
        <f t="shared" si="1"/>
        <v>0.20504722962113275</v>
      </c>
      <c r="I35" s="4">
        <f t="shared" si="2"/>
        <v>9.7445135226246204E-3</v>
      </c>
      <c r="J35" s="3">
        <v>-1.0454662951324403E-3</v>
      </c>
      <c r="L35" s="1">
        <v>30</v>
      </c>
      <c r="M35" s="7">
        <f>IF($M$30=1,N35,LOOKUP(L35,$L$39:$L$99,$M$39:$M$99))</f>
        <v>2.5000000000000001E-2</v>
      </c>
      <c r="N35" s="13">
        <v>2.5000000000000001E-2</v>
      </c>
      <c r="O35" s="7">
        <f t="shared" si="3"/>
        <v>2.5000205317738555E-2</v>
      </c>
    </row>
    <row r="36" spans="2:15" x14ac:dyDescent="0.55000000000000004">
      <c r="E36" s="1">
        <v>1.25</v>
      </c>
      <c r="F36">
        <v>1</v>
      </c>
      <c r="G36" s="4">
        <f t="shared" si="0"/>
        <v>0.70005621124682393</v>
      </c>
      <c r="H36" s="4">
        <f t="shared" si="1"/>
        <v>0.23297400205846858</v>
      </c>
      <c r="I36" s="4">
        <f t="shared" si="2"/>
        <v>1.214069320392952E-2</v>
      </c>
      <c r="J36" s="3">
        <v>-1.2580006267630872E-3</v>
      </c>
    </row>
    <row r="37" spans="2:15" x14ac:dyDescent="0.55000000000000004">
      <c r="E37" s="1">
        <v>1.5</v>
      </c>
      <c r="F37">
        <v>1</v>
      </c>
      <c r="G37" s="4">
        <f t="shared" si="0"/>
        <v>0.6555907478527262</v>
      </c>
      <c r="H37" s="4">
        <f t="shared" si="1"/>
        <v>0.25447289601619166</v>
      </c>
      <c r="I37" s="4">
        <f t="shared" si="2"/>
        <v>1.4521070354366783E-2</v>
      </c>
      <c r="J37" s="3">
        <v>-1.4035688007767002E-3</v>
      </c>
      <c r="L37" s="15" t="s">
        <v>10</v>
      </c>
      <c r="M37" s="16"/>
    </row>
    <row r="38" spans="2:15" x14ac:dyDescent="0.55000000000000004">
      <c r="E38" s="1">
        <v>1.75</v>
      </c>
      <c r="F38">
        <v>1</v>
      </c>
      <c r="G38" s="4">
        <f t="shared" si="0"/>
        <v>0.61508852375639711</v>
      </c>
      <c r="H38" s="4">
        <f t="shared" si="1"/>
        <v>0.27061911794977733</v>
      </c>
      <c r="I38" s="4">
        <f t="shared" si="2"/>
        <v>1.6885732635396611E-2</v>
      </c>
      <c r="J38" s="3">
        <v>-1.490736471536633E-3</v>
      </c>
      <c r="L38" t="s">
        <v>9</v>
      </c>
      <c r="M38" t="s">
        <v>8</v>
      </c>
    </row>
    <row r="39" spans="2:15" x14ac:dyDescent="0.55000000000000004">
      <c r="E39" s="1">
        <v>2</v>
      </c>
      <c r="F39">
        <v>1</v>
      </c>
      <c r="G39" s="4">
        <f t="shared" si="0"/>
        <v>0.57814349908700069</v>
      </c>
      <c r="H39" s="4">
        <f t="shared" si="1"/>
        <v>0.28232228097496748</v>
      </c>
      <c r="I39" s="4">
        <f t="shared" si="2"/>
        <v>1.9234767247740203E-2</v>
      </c>
      <c r="J39" s="3">
        <v>-1.5269611321541113E-3</v>
      </c>
      <c r="L39" s="1">
        <v>0.25</v>
      </c>
      <c r="M39" s="2">
        <v>5.0000000000000001E-4</v>
      </c>
    </row>
    <row r="40" spans="2:15" x14ac:dyDescent="0.55000000000000004">
      <c r="E40" s="1">
        <v>2.25</v>
      </c>
      <c r="F40">
        <v>1</v>
      </c>
      <c r="G40" s="4">
        <f t="shared" si="0"/>
        <v>0.54439449680489482</v>
      </c>
      <c r="H40" s="4">
        <f t="shared" si="1"/>
        <v>0.29035105605180195</v>
      </c>
      <c r="I40" s="4">
        <f t="shared" si="2"/>
        <v>2.1568260933731098E-2</v>
      </c>
      <c r="J40" s="3">
        <v>-1.5187390933322211E-3</v>
      </c>
      <c r="L40" s="1">
        <v>0.5</v>
      </c>
      <c r="M40" s="2">
        <v>1.1000000000000001E-3</v>
      </c>
    </row>
    <row r="41" spans="2:15" x14ac:dyDescent="0.55000000000000004">
      <c r="E41" s="1">
        <v>2.5</v>
      </c>
      <c r="F41">
        <v>1</v>
      </c>
      <c r="G41" s="4">
        <f t="shared" si="0"/>
        <v>0.51352000647601015</v>
      </c>
      <c r="H41" s="4">
        <f t="shared" si="1"/>
        <v>0.29535421633573561</v>
      </c>
      <c r="I41" s="4">
        <f t="shared" si="2"/>
        <v>2.3886299979683834E-2</v>
      </c>
      <c r="J41" s="3">
        <v>-1.4717326501616874E-3</v>
      </c>
      <c r="L41" s="1">
        <v>1</v>
      </c>
      <c r="M41" s="2">
        <v>1.6000000000000001E-3</v>
      </c>
    </row>
    <row r="42" spans="2:15" x14ac:dyDescent="0.55000000000000004">
      <c r="E42" s="1">
        <v>2.75</v>
      </c>
      <c r="F42">
        <v>1</v>
      </c>
      <c r="G42" s="4">
        <f t="shared" si="0"/>
        <v>0.48523360956519124</v>
      </c>
      <c r="H42" s="4">
        <f t="shared" si="1"/>
        <v>0.29787859718449528</v>
      </c>
      <c r="I42" s="4">
        <f t="shared" si="2"/>
        <v>2.6188970218213314E-2</v>
      </c>
      <c r="J42" s="3">
        <v>-1.39088013607479E-3</v>
      </c>
      <c r="L42" s="1">
        <v>1.5</v>
      </c>
      <c r="M42" s="2">
        <v>2E-3</v>
      </c>
    </row>
    <row r="43" spans="2:15" x14ac:dyDescent="0.55000000000000004">
      <c r="E43" s="1">
        <v>3</v>
      </c>
      <c r="F43">
        <v>1</v>
      </c>
      <c r="G43" s="4">
        <f t="shared" si="0"/>
        <v>0.45927995015765949</v>
      </c>
      <c r="H43" s="4">
        <f t="shared" si="1"/>
        <v>0.29838441909570346</v>
      </c>
      <c r="I43" s="4">
        <f t="shared" si="2"/>
        <v>2.847635703058593E-2</v>
      </c>
      <c r="J43" s="3">
        <v>-1.2804911926754267E-3</v>
      </c>
      <c r="L43" s="1">
        <v>2</v>
      </c>
      <c r="M43" s="2">
        <v>2.5000000000000001E-3</v>
      </c>
    </row>
    <row r="44" spans="2:15" x14ac:dyDescent="0.55000000000000004">
      <c r="E44" s="1">
        <v>3.25</v>
      </c>
      <c r="F44">
        <v>1</v>
      </c>
      <c r="G44" s="4">
        <f t="shared" si="0"/>
        <v>0.43543118449889667</v>
      </c>
      <c r="H44" s="4">
        <f t="shared" si="1"/>
        <v>0.29725835641833787</v>
      </c>
      <c r="I44" s="4">
        <f t="shared" si="2"/>
        <v>3.0748545349016942E-2</v>
      </c>
      <c r="J44" s="3">
        <v>-1.1443292648462321E-3</v>
      </c>
      <c r="L44" s="1">
        <v>2.5</v>
      </c>
      <c r="M44" s="2">
        <v>3.0999999999999999E-3</v>
      </c>
    </row>
    <row r="45" spans="2:15" x14ac:dyDescent="0.55000000000000004">
      <c r="E45" s="1">
        <v>3.5</v>
      </c>
      <c r="F45">
        <v>1</v>
      </c>
      <c r="G45" s="4">
        <f t="shared" si="0"/>
        <v>0.41348385102661706</v>
      </c>
      <c r="H45" s="4">
        <f t="shared" si="1"/>
        <v>0.29482467948985136</v>
      </c>
      <c r="I45" s="4">
        <f t="shared" si="2"/>
        <v>3.3005619658989849E-2</v>
      </c>
      <c r="J45" s="3">
        <v>-9.8568305519583684E-4</v>
      </c>
      <c r="L45" s="1">
        <v>3</v>
      </c>
      <c r="M45" s="2">
        <v>3.5999999999999999E-3</v>
      </c>
    </row>
    <row r="46" spans="2:15" x14ac:dyDescent="0.55000000000000004">
      <c r="E46" s="1">
        <v>3.75</v>
      </c>
      <c r="F46">
        <v>1</v>
      </c>
      <c r="G46" s="4">
        <f t="shared" si="0"/>
        <v>0.39325610980709685</v>
      </c>
      <c r="H46" s="4">
        <f t="shared" si="1"/>
        <v>0.2913547505790543</v>
      </c>
      <c r="I46" s="4">
        <f t="shared" si="2"/>
        <v>3.5247664001541557E-2</v>
      </c>
      <c r="J46" s="3">
        <v>-8.0742843456061298E-4</v>
      </c>
      <c r="L46" s="1">
        <v>3.5</v>
      </c>
      <c r="M46" s="2">
        <v>4.4999999999999997E-3</v>
      </c>
    </row>
    <row r="47" spans="2:15" x14ac:dyDescent="0.55000000000000004">
      <c r="E47" s="1">
        <v>4</v>
      </c>
      <c r="F47">
        <v>1</v>
      </c>
      <c r="G47" s="4">
        <f t="shared" si="0"/>
        <v>0.3745853066152352</v>
      </c>
      <c r="H47" s="4">
        <f t="shared" si="1"/>
        <v>0.28707511352994808</v>
      </c>
      <c r="I47" s="4">
        <f t="shared" si="2"/>
        <v>3.7474761975546111E-2</v>
      </c>
      <c r="J47" s="3">
        <v>-6.1208210057662246E-4</v>
      </c>
      <c r="L47" s="1">
        <v>4</v>
      </c>
      <c r="M47" s="2">
        <v>5.4000000000000003E-3</v>
      </c>
    </row>
    <row r="48" spans="2:15" x14ac:dyDescent="0.55000000000000004">
      <c r="E48" s="1">
        <v>4.25</v>
      </c>
      <c r="F48">
        <v>1</v>
      </c>
      <c r="G48" s="4">
        <f t="shared" si="0"/>
        <v>0.35732582242945926</v>
      </c>
      <c r="H48" s="4">
        <f t="shared" si="1"/>
        <v>0.28217438233250719</v>
      </c>
      <c r="I48" s="4">
        <f t="shared" si="2"/>
        <v>3.9686996739985103E-2</v>
      </c>
      <c r="J48" s="3">
        <v>-4.0184809982867723E-4</v>
      </c>
      <c r="L48" s="1">
        <v>4.5</v>
      </c>
      <c r="M48" s="2">
        <v>6.3E-3</v>
      </c>
    </row>
    <row r="49" spans="5:13" x14ac:dyDescent="0.55000000000000004">
      <c r="E49" s="1">
        <v>4.5</v>
      </c>
      <c r="F49">
        <v>1</v>
      </c>
      <c r="G49" s="4">
        <f t="shared" si="0"/>
        <v>0.34134717395012948</v>
      </c>
      <c r="H49" s="4">
        <f t="shared" si="1"/>
        <v>0.27680910416045923</v>
      </c>
      <c r="I49" s="4">
        <f t="shared" si="2"/>
        <v>4.1884451016206303E-2</v>
      </c>
      <c r="J49" s="3">
        <v>-1.7865817683738062E-4</v>
      </c>
      <c r="L49" s="1">
        <v>5</v>
      </c>
      <c r="M49" s="2">
        <v>7.1999999999999998E-3</v>
      </c>
    </row>
    <row r="50" spans="5:13" x14ac:dyDescent="0.55000000000000004">
      <c r="E50" s="1">
        <v>4.75</v>
      </c>
      <c r="F50">
        <v>1</v>
      </c>
      <c r="G50" s="4">
        <f t="shared" si="0"/>
        <v>0.32653233498164291</v>
      </c>
      <c r="H50" s="4">
        <f t="shared" si="1"/>
        <v>0.27110874699979037</v>
      </c>
      <c r="I50" s="4">
        <f t="shared" si="2"/>
        <v>4.4067207090173199E-2</v>
      </c>
      <c r="J50" s="3">
        <v>5.5793218179655928E-5</v>
      </c>
      <c r="L50" s="1">
        <v>5.5</v>
      </c>
      <c r="M50" s="2">
        <v>8.3999999999999995E-3</v>
      </c>
    </row>
    <row r="51" spans="5:13" x14ac:dyDescent="0.55000000000000004">
      <c r="E51" s="1">
        <v>5</v>
      </c>
      <c r="F51">
        <v>1</v>
      </c>
      <c r="G51" s="4">
        <f t="shared" si="0"/>
        <v>0.31277625222084388</v>
      </c>
      <c r="H51" s="4">
        <f t="shared" si="1"/>
        <v>0.26517994023331354</v>
      </c>
      <c r="I51" s="4">
        <f t="shared" si="2"/>
        <v>4.6235346814692213E-2</v>
      </c>
      <c r="J51" s="3">
        <v>3.0001854412762142E-4</v>
      </c>
      <c r="L51" s="1">
        <v>6</v>
      </c>
      <c r="M51" s="2">
        <v>9.5999999999999992E-3</v>
      </c>
    </row>
    <row r="52" spans="5:13" x14ac:dyDescent="0.55000000000000004">
      <c r="E52" s="1">
        <v>5.25</v>
      </c>
      <c r="F52">
        <v>1</v>
      </c>
      <c r="G52" s="4">
        <f t="shared" si="0"/>
        <v>0.29998453223464683</v>
      </c>
      <c r="H52" s="4">
        <f t="shared" si="1"/>
        <v>0.25911007792187135</v>
      </c>
      <c r="I52" s="4">
        <f t="shared" si="2"/>
        <v>4.8388951611650355E-2</v>
      </c>
      <c r="J52" s="3">
        <v>5.5271078555035012E-4</v>
      </c>
      <c r="L52" s="1">
        <v>6.5</v>
      </c>
      <c r="M52" s="2">
        <v>1.0800000000000001E-2</v>
      </c>
    </row>
    <row r="53" spans="5:13" x14ac:dyDescent="0.55000000000000004">
      <c r="E53" s="1">
        <v>5.5</v>
      </c>
      <c r="F53">
        <v>1</v>
      </c>
      <c r="G53" s="4">
        <f t="shared" si="0"/>
        <v>0.28807227924640372</v>
      </c>
      <c r="H53" s="4">
        <f t="shared" si="1"/>
        <v>0.25297037858223298</v>
      </c>
      <c r="I53" s="4">
        <f t="shared" si="2"/>
        <v>5.052810247421724E-2</v>
      </c>
      <c r="J53" s="3">
        <v>8.1272053429688566E-4</v>
      </c>
      <c r="L53" s="1">
        <v>7</v>
      </c>
      <c r="M53" s="2">
        <v>1.2E-2</v>
      </c>
    </row>
    <row r="54" spans="5:13" x14ac:dyDescent="0.55000000000000004">
      <c r="E54" s="1">
        <v>5.75</v>
      </c>
      <c r="F54">
        <v>1</v>
      </c>
      <c r="G54" s="4">
        <f t="shared" si="0"/>
        <v>0.27696306583447949</v>
      </c>
      <c r="H54" s="4">
        <f t="shared" si="1"/>
        <v>0.24681848162036807</v>
      </c>
      <c r="I54" s="4">
        <f t="shared" si="2"/>
        <v>5.2652879969052102E-2</v>
      </c>
      <c r="J54" s="3">
        <v>1.079036072609979E-3</v>
      </c>
      <c r="L54" s="1">
        <v>7.5</v>
      </c>
      <c r="M54" s="2">
        <v>1.2999999999999999E-2</v>
      </c>
    </row>
    <row r="55" spans="5:13" x14ac:dyDescent="0.55000000000000004">
      <c r="E55" s="1">
        <v>6</v>
      </c>
      <c r="F55">
        <v>1</v>
      </c>
      <c r="G55" s="4">
        <f t="shared" si="0"/>
        <v>0.26658802082219241</v>
      </c>
      <c r="H55" s="4">
        <f t="shared" si="1"/>
        <v>0.24070064890648354</v>
      </c>
      <c r="I55" s="4">
        <f t="shared" si="2"/>
        <v>5.4763364238494816E-2</v>
      </c>
      <c r="J55" s="3">
        <v>1.3507660567376439E-3</v>
      </c>
      <c r="L55" s="1">
        <v>8</v>
      </c>
      <c r="M55" s="2">
        <v>1.41E-2</v>
      </c>
    </row>
    <row r="56" spans="5:13" x14ac:dyDescent="0.55000000000000004">
      <c r="E56" s="1">
        <v>6.25</v>
      </c>
      <c r="F56">
        <v>1</v>
      </c>
      <c r="G56" s="4">
        <f t="shared" si="0"/>
        <v>0.25688502054453755</v>
      </c>
      <c r="H56" s="4">
        <f t="shared" si="1"/>
        <v>0.2346536299921837</v>
      </c>
      <c r="I56" s="4">
        <f t="shared" si="2"/>
        <v>5.6859635002741049E-2</v>
      </c>
      <c r="J56" s="3">
        <v>1.6271244544237787E-3</v>
      </c>
      <c r="L56" s="1">
        <v>8.5</v>
      </c>
      <c r="M56" s="2">
        <v>1.5100000000000001E-2</v>
      </c>
    </row>
    <row r="57" spans="5:13" x14ac:dyDescent="0.55000000000000004">
      <c r="E57" s="1">
        <v>6.5</v>
      </c>
      <c r="F57">
        <v>1</v>
      </c>
      <c r="G57" s="4">
        <f t="shared" si="0"/>
        <v>0.24779797134778841</v>
      </c>
      <c r="H57" s="4">
        <f t="shared" si="1"/>
        <v>0.22870624092800876</v>
      </c>
      <c r="I57" s="4">
        <f t="shared" si="2"/>
        <v>5.8941771562017076E-2</v>
      </c>
      <c r="J57" s="3">
        <v>1.9074174364791946E-3</v>
      </c>
      <c r="L57" s="1">
        <v>9</v>
      </c>
      <c r="M57" s="2">
        <v>1.6199999999999999E-2</v>
      </c>
    </row>
    <row r="58" spans="5:13" x14ac:dyDescent="0.55000000000000004">
      <c r="E58" s="1">
        <v>6.75</v>
      </c>
      <c r="F58">
        <v>1</v>
      </c>
      <c r="G58" s="4">
        <f t="shared" si="0"/>
        <v>0.23927617264272188</v>
      </c>
      <c r="H58" s="4">
        <f t="shared" si="1"/>
        <v>0.22288069933379082</v>
      </c>
      <c r="I58" s="4">
        <f t="shared" si="2"/>
        <v>6.1009852798735276E-2</v>
      </c>
      <c r="J58" s="3">
        <v>2.1910319630813815E-3</v>
      </c>
      <c r="L58" s="1">
        <v>9.5</v>
      </c>
      <c r="M58" s="2">
        <v>1.7299999999999999E-2</v>
      </c>
    </row>
    <row r="59" spans="5:13" x14ac:dyDescent="0.55000000000000004">
      <c r="E59" s="1">
        <v>7</v>
      </c>
      <c r="F59">
        <v>1</v>
      </c>
      <c r="G59" s="4">
        <f t="shared" si="0"/>
        <v>0.23127375111663345</v>
      </c>
      <c r="H59" s="4">
        <f t="shared" si="1"/>
        <v>0.21719375212684186</v>
      </c>
      <c r="I59" s="4">
        <f t="shared" si="2"/>
        <v>6.3063957179637864E-2</v>
      </c>
      <c r="J59" s="3">
        <v>2.4774258403963065E-3</v>
      </c>
      <c r="L59" s="1">
        <v>10</v>
      </c>
      <c r="M59" s="2">
        <v>1.84E-2</v>
      </c>
    </row>
    <row r="60" spans="5:13" x14ac:dyDescent="0.55000000000000004">
      <c r="E60" s="1">
        <v>7.25</v>
      </c>
      <c r="F60">
        <v>1</v>
      </c>
      <c r="G60" s="4">
        <f t="shared" si="0"/>
        <v>0.22374915783602967</v>
      </c>
      <c r="H60" s="4">
        <f t="shared" si="1"/>
        <v>0.21165762697155979</v>
      </c>
      <c r="I60" s="4">
        <f t="shared" si="2"/>
        <v>6.5104162757935291E-2</v>
      </c>
      <c r="J60" s="3">
        <v>2.7661190532998689E-3</v>
      </c>
      <c r="L60" s="1">
        <v>10.5</v>
      </c>
      <c r="M60" s="2">
        <v>1.8800000000000001E-2</v>
      </c>
    </row>
    <row r="61" spans="5:13" x14ac:dyDescent="0.55000000000000004">
      <c r="E61" s="1">
        <v>7.5</v>
      </c>
      <c r="F61">
        <v>1</v>
      </c>
      <c r="G61" s="4">
        <f t="shared" si="0"/>
        <v>0.2166647209605862</v>
      </c>
      <c r="H61" s="4">
        <f t="shared" si="1"/>
        <v>0.20628083394806362</v>
      </c>
      <c r="I61" s="4">
        <f t="shared" si="2"/>
        <v>6.7130547175433541E-2</v>
      </c>
      <c r="J61" s="3">
        <v>3.0566862060551706E-3</v>
      </c>
      <c r="L61" s="1">
        <v>11</v>
      </c>
      <c r="M61" s="2">
        <v>1.9199999999999998E-2</v>
      </c>
    </row>
    <row r="62" spans="5:13" x14ac:dyDescent="0.55000000000000004">
      <c r="E62" s="1">
        <v>7.75</v>
      </c>
      <c r="F62">
        <v>1</v>
      </c>
      <c r="G62" s="4">
        <f t="shared" si="0"/>
        <v>0.20998624765682522</v>
      </c>
      <c r="H62" s="4">
        <f t="shared" si="1"/>
        <v>0.20106884003512601</v>
      </c>
      <c r="I62" s="4">
        <f t="shared" si="2"/>
        <v>6.9143187664642669E-2</v>
      </c>
      <c r="J62" s="3">
        <v>3.3487499253405124E-3</v>
      </c>
      <c r="L62" s="1">
        <v>11.5</v>
      </c>
      <c r="M62" s="2">
        <v>1.9599999999999999E-2</v>
      </c>
    </row>
    <row r="63" spans="5:13" x14ac:dyDescent="0.55000000000000004">
      <c r="E63" s="1">
        <v>8</v>
      </c>
      <c r="F63">
        <v>1</v>
      </c>
      <c r="G63" s="4">
        <f t="shared" si="0"/>
        <v>0.20368266956202294</v>
      </c>
      <c r="H63" s="4">
        <f t="shared" si="1"/>
        <v>0.19602463566819869</v>
      </c>
      <c r="I63" s="4">
        <f t="shared" si="2"/>
        <v>7.1142161050885E-2</v>
      </c>
      <c r="J63" s="3">
        <v>3.6419750995097516E-3</v>
      </c>
      <c r="L63" s="1">
        <v>12</v>
      </c>
      <c r="M63" s="2">
        <v>0.02</v>
      </c>
    </row>
    <row r="64" spans="5:13" x14ac:dyDescent="0.55000000000000004">
      <c r="E64" s="1">
        <v>8.25</v>
      </c>
      <c r="F64">
        <v>1</v>
      </c>
      <c r="G64" s="4">
        <f t="shared" ref="G64:G95" si="4">IF(lambda=0,1,(1-EXP(-lambda*$E64))/(lambda*$E64))</f>
        <v>0.19772572681822725</v>
      </c>
      <c r="H64" s="4">
        <f t="shared" ref="H64:H95" si="5">G64-EXP(-lambda*$E64)</f>
        <v>0.19114920978470559</v>
      </c>
      <c r="I64" s="4">
        <f t="shared" ref="I64:I95" si="6">IF(gamma=0,0,(1-EXP(-gamma*$E64))/(gamma*$E64)-EXP(-gamma*$E64))</f>
        <v>7.312754375438546E-2</v>
      </c>
      <c r="J64" s="3">
        <v>3.9360638448037739E-3</v>
      </c>
      <c r="L64" s="1">
        <v>12.5</v>
      </c>
      <c r="M64" s="2">
        <v>2.0400000000000001E-2</v>
      </c>
    </row>
    <row r="65" spans="5:13" x14ac:dyDescent="0.55000000000000004">
      <c r="E65" s="1">
        <v>8.5</v>
      </c>
      <c r="F65">
        <v>1</v>
      </c>
      <c r="G65" s="4">
        <f t="shared" si="4"/>
        <v>0.19208968628443046</v>
      </c>
      <c r="H65" s="4">
        <f t="shared" si="5"/>
        <v>0.18644194733578467</v>
      </c>
      <c r="I65" s="4">
        <f t="shared" si="6"/>
        <v>7.5099411792356685E-2</v>
      </c>
      <c r="J65" s="3">
        <v>4.230751103802206E-3</v>
      </c>
      <c r="L65" s="1">
        <v>13</v>
      </c>
      <c r="M65" s="2">
        <v>2.0799999999999999E-2</v>
      </c>
    </row>
    <row r="66" spans="5:13" x14ac:dyDescent="0.55000000000000004">
      <c r="E66" s="1">
        <v>8.75</v>
      </c>
      <c r="F66">
        <v>1</v>
      </c>
      <c r="G66" s="4">
        <f t="shared" si="4"/>
        <v>0.18675109005193127</v>
      </c>
      <c r="H66" s="4">
        <f t="shared" si="5"/>
        <v>0.18190096116615995</v>
      </c>
      <c r="I66" s="4">
        <f t="shared" si="6"/>
        <v>7.7057840781066145E-2</v>
      </c>
      <c r="J66" s="3">
        <v>4.5258007939977477E-3</v>
      </c>
      <c r="L66" s="1">
        <v>13.5</v>
      </c>
      <c r="M66" s="2">
        <v>2.12E-2</v>
      </c>
    </row>
    <row r="67" spans="5:13" x14ac:dyDescent="0.55000000000000004">
      <c r="E67" s="1">
        <v>9</v>
      </c>
      <c r="F67">
        <v>1</v>
      </c>
      <c r="G67" s="4">
        <f t="shared" si="4"/>
        <v>0.18168853084251482</v>
      </c>
      <c r="H67" s="4">
        <f t="shared" si="5"/>
        <v>0.17752336839033847</v>
      </c>
      <c r="I67" s="4">
        <f t="shared" si="6"/>
        <v>7.9002905937901602E-2</v>
      </c>
      <c r="J67" s="3">
        <v>4.8210024352791803E-3</v>
      </c>
      <c r="L67" s="1">
        <v>14</v>
      </c>
      <c r="M67" s="2">
        <v>2.1600000000000001E-2</v>
      </c>
    </row>
    <row r="68" spans="5:13" x14ac:dyDescent="0.55000000000000004">
      <c r="E68" s="1">
        <v>9.25</v>
      </c>
      <c r="F68">
        <v>1</v>
      </c>
      <c r="G68" s="4">
        <f t="shared" si="4"/>
        <v>0.17688245126895366</v>
      </c>
      <c r="H68" s="4">
        <f t="shared" si="5"/>
        <v>0.17330551987978693</v>
      </c>
      <c r="I68" s="4">
        <f t="shared" si="6"/>
        <v>8.0934682083419363E-2</v>
      </c>
      <c r="J68" s="3">
        <v>5.1161681945344362E-3</v>
      </c>
      <c r="L68" s="1">
        <v>14.5</v>
      </c>
      <c r="M68" s="2">
        <v>2.2100000000000002E-2</v>
      </c>
    </row>
    <row r="69" spans="5:13" x14ac:dyDescent="0.55000000000000004">
      <c r="E69" s="1">
        <v>9.5</v>
      </c>
      <c r="F69">
        <v>1</v>
      </c>
      <c r="G69" s="4">
        <f t="shared" si="4"/>
        <v>0.17231496428920887</v>
      </c>
      <c r="H69" s="4">
        <f t="shared" si="5"/>
        <v>0.16924319018442671</v>
      </c>
      <c r="I69" s="4">
        <f t="shared" si="6"/>
        <v>8.2853243643384755E-2</v>
      </c>
      <c r="J69" s="3">
        <v>5.411130293752309E-3</v>
      </c>
      <c r="L69" s="1">
        <v>15</v>
      </c>
      <c r="M69" s="2">
        <v>2.2499999999999999E-2</v>
      </c>
    </row>
    <row r="70" spans="5:13" x14ac:dyDescent="0.55000000000000004">
      <c r="E70" s="1">
        <v>9.75</v>
      </c>
      <c r="F70">
        <v>1</v>
      </c>
      <c r="G70" s="4">
        <f t="shared" si="4"/>
        <v>0.16796969249546503</v>
      </c>
      <c r="H70" s="4">
        <f t="shared" si="5"/>
        <v>0.16533173411041244</v>
      </c>
      <c r="I70" s="4">
        <f t="shared" si="6"/>
        <v>8.4758664650804727E-2</v>
      </c>
      <c r="J70" s="3">
        <v>5.7057387350668808E-3</v>
      </c>
      <c r="L70" s="1">
        <v>15.5</v>
      </c>
      <c r="M70" s="2">
        <v>2.29E-2</v>
      </c>
    </row>
    <row r="71" spans="5:13" x14ac:dyDescent="0.55000000000000004">
      <c r="E71" s="1">
        <v>10</v>
      </c>
      <c r="F71">
        <v>1</v>
      </c>
      <c r="G71" s="4">
        <f t="shared" si="4"/>
        <v>0.16383162415191885</v>
      </c>
      <c r="H71" s="4">
        <f t="shared" si="5"/>
        <v>0.16156621523710452</v>
      </c>
      <c r="I71" s="4">
        <f t="shared" si="6"/>
        <v>8.6651018747942898E-2</v>
      </c>
      <c r="J71" s="3">
        <v>5.9998593023071235E-3</v>
      </c>
      <c r="L71" s="1">
        <v>16</v>
      </c>
      <c r="M71" s="2">
        <v>2.3400000000000001E-2</v>
      </c>
    </row>
    <row r="72" spans="5:13" x14ac:dyDescent="0.55000000000000004">
      <c r="E72" s="1">
        <v>10.25</v>
      </c>
      <c r="F72">
        <v>1</v>
      </c>
      <c r="G72" s="4">
        <f t="shared" si="4"/>
        <v>0.15988698413556154</v>
      </c>
      <c r="H72" s="4">
        <f t="shared" si="5"/>
        <v>0.15794151085577063</v>
      </c>
      <c r="I72" s="4">
        <f t="shared" si="6"/>
        <v>8.8530379188332509E-2</v>
      </c>
      <c r="J72" s="3">
        <v>6.2933718039200632E-3</v>
      </c>
      <c r="L72" s="1">
        <v>16.5</v>
      </c>
      <c r="M72" s="2">
        <v>2.3800000000000002E-2</v>
      </c>
    </row>
    <row r="73" spans="5:13" x14ac:dyDescent="0.55000000000000004">
      <c r="E73" s="1">
        <v>10.5</v>
      </c>
      <c r="F73">
        <v>1</v>
      </c>
      <c r="G73" s="4">
        <f t="shared" si="4"/>
        <v>0.1561231181460056</v>
      </c>
      <c r="H73" s="4">
        <f t="shared" si="5"/>
        <v>0.15445239713063844</v>
      </c>
      <c r="I73" s="4">
        <f t="shared" si="6"/>
        <v>9.0396818838774928E-2</v>
      </c>
      <c r="J73" s="3">
        <v>6.5861685267246551E-3</v>
      </c>
      <c r="L73" s="1">
        <v>17</v>
      </c>
      <c r="M73" s="2">
        <v>2.4299999999999999E-2</v>
      </c>
    </row>
    <row r="74" spans="5:13" x14ac:dyDescent="0.55000000000000004">
      <c r="E74" s="1">
        <v>10.75</v>
      </c>
      <c r="F74">
        <v>1</v>
      </c>
      <c r="G74" s="4">
        <f t="shared" si="4"/>
        <v>0.15252838873716132</v>
      </c>
      <c r="H74" s="4">
        <f t="shared" si="5"/>
        <v>0.15109361770217208</v>
      </c>
      <c r="I74" s="4">
        <f t="shared" si="6"/>
        <v>9.2250410181327958E-2</v>
      </c>
      <c r="J74" s="3">
        <v>6.8781528739379795E-3</v>
      </c>
      <c r="L74" s="1">
        <v>17.5</v>
      </c>
      <c r="M74" s="2">
        <v>2.47E-2</v>
      </c>
    </row>
    <row r="75" spans="5:13" x14ac:dyDescent="0.55000000000000004">
      <c r="E75" s="1">
        <v>11</v>
      </c>
      <c r="F75">
        <v>1</v>
      </c>
      <c r="G75" s="4">
        <f t="shared" si="4"/>
        <v>0.14909208188830611</v>
      </c>
      <c r="H75" s="4">
        <f t="shared" si="5"/>
        <v>0.1478599384580688</v>
      </c>
      <c r="I75" s="4">
        <f t="shared" si="6"/>
        <v>9.4091225315285354E-2</v>
      </c>
      <c r="J75" s="3">
        <v>7.1692381643669676E-3</v>
      </c>
      <c r="L75" s="1">
        <v>18</v>
      </c>
      <c r="M75" s="2">
        <v>2.52E-2</v>
      </c>
    </row>
    <row r="76" spans="5:13" x14ac:dyDescent="0.55000000000000004">
      <c r="E76" s="1">
        <v>11.25</v>
      </c>
      <c r="F76">
        <v>1</v>
      </c>
      <c r="G76" s="4">
        <f t="shared" si="4"/>
        <v>0.14580432297746448</v>
      </c>
      <c r="H76" s="4">
        <f t="shared" si="5"/>
        <v>0.14474619077681802</v>
      </c>
      <c r="I76" s="4">
        <f t="shared" si="6"/>
        <v>9.5919335959144814E-2</v>
      </c>
      <c r="J76" s="3">
        <v>7.4593465726520564E-3</v>
      </c>
      <c r="L76" s="1">
        <v>18.5</v>
      </c>
      <c r="M76" s="2">
        <v>2.5700000000000001E-2</v>
      </c>
    </row>
    <row r="77" spans="5:13" x14ac:dyDescent="0.55000000000000004">
      <c r="E77" s="1">
        <v>11.5</v>
      </c>
      <c r="F77">
        <v>1</v>
      </c>
      <c r="G77" s="4">
        <f t="shared" si="4"/>
        <v>0.14265600114836272</v>
      </c>
      <c r="H77" s="4">
        <f t="shared" si="5"/>
        <v>0.14174730519092105</v>
      </c>
      <c r="I77" s="4">
        <f t="shared" si="6"/>
        <v>9.7734813452569069E-2</v>
      </c>
      <c r="J77" s="3">
        <v>7.7484081930480411E-3</v>
      </c>
      <c r="L77" s="1">
        <v>19</v>
      </c>
      <c r="M77" s="2">
        <v>2.6100000000000002E-2</v>
      </c>
    </row>
    <row r="78" spans="5:13" x14ac:dyDescent="0.55000000000000004">
      <c r="E78" s="1">
        <v>11.75</v>
      </c>
      <c r="F78">
        <v>1</v>
      </c>
      <c r="G78" s="4">
        <f t="shared" si="4"/>
        <v>0.13963870117558677</v>
      </c>
      <c r="H78" s="4">
        <f t="shared" si="5"/>
        <v>0.13885833711279166</v>
      </c>
      <c r="I78" s="4">
        <f t="shared" si="6"/>
        <v>9.9537728758333222E-2</v>
      </c>
      <c r="J78" s="3">
        <v>8.0363602114797532E-3</v>
      </c>
      <c r="L78" s="1">
        <v>19.5</v>
      </c>
      <c r="M78" s="2">
        <v>2.6599999999999999E-2</v>
      </c>
    </row>
    <row r="79" spans="5:13" x14ac:dyDescent="0.55000000000000004">
      <c r="E79" s="1">
        <v>12</v>
      </c>
      <c r="F79">
        <v>1</v>
      </c>
      <c r="G79" s="4">
        <f t="shared" si="4"/>
        <v>0.13674464203274464</v>
      </c>
      <c r="H79" s="4">
        <f t="shared" si="5"/>
        <v>0.13607448600804239</v>
      </c>
      <c r="I79" s="4">
        <f t="shared" si="6"/>
        <v>0.10132815246426397</v>
      </c>
      <c r="J79" s="3">
        <v>8.323146172569594E-3</v>
      </c>
      <c r="L79" s="1">
        <v>20</v>
      </c>
      <c r="M79" s="2">
        <v>2.7099999999999999E-2</v>
      </c>
    </row>
    <row r="80" spans="5:13" x14ac:dyDescent="0.55000000000000004">
      <c r="E80" s="1">
        <v>12.25</v>
      </c>
      <c r="F80">
        <v>1</v>
      </c>
      <c r="G80" s="4">
        <f t="shared" si="4"/>
        <v>0.13396662145699778</v>
      </c>
      <c r="H80" s="4">
        <f t="shared" si="5"/>
        <v>0.13339110918156563</v>
      </c>
      <c r="I80" s="4">
        <f t="shared" si="6"/>
        <v>0.10310615478516927</v>
      </c>
      <c r="J80" s="3">
        <v>8.6087153300327263E-3</v>
      </c>
      <c r="L80" s="1">
        <v>20.5</v>
      </c>
      <c r="M80" s="2">
        <v>2.7300000000000001E-2</v>
      </c>
    </row>
    <row r="81" spans="5:13" x14ac:dyDescent="0.55000000000000004">
      <c r="E81" s="1">
        <v>12.5</v>
      </c>
      <c r="F81">
        <v>1</v>
      </c>
      <c r="G81" s="4">
        <f t="shared" si="4"/>
        <v>0.13129796588165632</v>
      </c>
      <c r="H81" s="4">
        <f t="shared" si="5"/>
        <v>0.13080373115576502</v>
      </c>
      <c r="I81" s="4">
        <f t="shared" si="6"/>
        <v>0.1048718055647575</v>
      </c>
      <c r="J81" s="3">
        <v>8.8930220703127803E-3</v>
      </c>
      <c r="L81" s="1">
        <v>21</v>
      </c>
      <c r="M81" s="2">
        <v>2.76E-2</v>
      </c>
    </row>
    <row r="82" spans="5:13" x14ac:dyDescent="0.55000000000000004">
      <c r="E82" s="1">
        <v>12.75</v>
      </c>
      <c r="F82">
        <v>1</v>
      </c>
      <c r="G82" s="4">
        <f t="shared" si="4"/>
        <v>0.12873248517785088</v>
      </c>
      <c r="H82" s="4">
        <f t="shared" si="5"/>
        <v>0.12830804946256849</v>
      </c>
      <c r="I82" s="4">
        <f t="shared" si="6"/>
        <v>0.10662517427754825</v>
      </c>
      <c r="J82" s="3">
        <v>9.1760254006153976E-3</v>
      </c>
      <c r="L82" s="1">
        <v>21.5</v>
      </c>
      <c r="M82" s="2">
        <v>2.7799999999999998E-2</v>
      </c>
    </row>
    <row r="83" spans="5:13" x14ac:dyDescent="0.55000000000000004">
      <c r="E83" s="1">
        <v>13</v>
      </c>
      <c r="F83">
        <v>1</v>
      </c>
      <c r="G83" s="4">
        <f t="shared" si="4"/>
        <v>0.12626443170766433</v>
      </c>
      <c r="H83" s="4">
        <f t="shared" si="5"/>
        <v>0.1258999375372428</v>
      </c>
      <c r="I83" s="4">
        <f t="shared" si="6"/>
        <v>0.1083663300307699</v>
      </c>
      <c r="J83" s="3">
        <v>9.4576884936120875E-3</v>
      </c>
      <c r="L83" s="1">
        <v>22</v>
      </c>
      <c r="M83" s="2">
        <v>2.81E-2</v>
      </c>
    </row>
    <row r="84" spans="5:13" x14ac:dyDescent="0.55000000000000004">
      <c r="E84" s="1">
        <v>13.25</v>
      </c>
      <c r="F84">
        <v>1</v>
      </c>
      <c r="G84" s="4">
        <f t="shared" si="4"/>
        <v>0.12388846324546657</v>
      </c>
      <c r="H84" s="4">
        <f t="shared" si="5"/>
        <v>0.12357544528894776</v>
      </c>
      <c r="I84" s="4">
        <f t="shared" si="6"/>
        <v>0.11009534156625356</v>
      </c>
      <c r="J84" s="3">
        <v>9.7379782820606747E-3</v>
      </c>
      <c r="L84" s="1">
        <v>22.5</v>
      </c>
      <c r="M84" s="2">
        <v>2.8400000000000002E-2</v>
      </c>
    </row>
    <row r="85" spans="5:13" x14ac:dyDescent="0.55000000000000004">
      <c r="E85" s="1">
        <v>13.5</v>
      </c>
      <c r="F85">
        <v>1</v>
      </c>
      <c r="G85" s="4">
        <f t="shared" si="4"/>
        <v>0.12159960937237441</v>
      </c>
      <c r="H85" s="4">
        <f t="shared" si="5"/>
        <v>0.12133079782735054</v>
      </c>
      <c r="I85" s="4">
        <f t="shared" si="6"/>
        <v>0.11181227726231135</v>
      </c>
      <c r="J85" s="3">
        <v>1.001686509743026E-2</v>
      </c>
      <c r="L85" s="1">
        <v>23</v>
      </c>
      <c r="M85" s="2">
        <v>2.86E-2</v>
      </c>
    </row>
    <row r="86" spans="5:13" x14ac:dyDescent="0.55000000000000004">
      <c r="E86" s="1">
        <v>13.75</v>
      </c>
      <c r="F86">
        <v>1</v>
      </c>
      <c r="G86" s="4">
        <f t="shared" si="4"/>
        <v>0.11939324099147612</v>
      </c>
      <c r="H86" s="4">
        <f t="shared" si="5"/>
        <v>0.11916239274384921</v>
      </c>
      <c r="I86" s="4">
        <f t="shared" si="6"/>
        <v>0.11351720513560792</v>
      </c>
      <c r="J86" s="3">
        <v>1.0294322347358258E-2</v>
      </c>
      <c r="L86" s="1">
        <v>23.5</v>
      </c>
      <c r="M86" s="2">
        <v>2.8899999999999999E-2</v>
      </c>
    </row>
    <row r="87" spans="5:13" x14ac:dyDescent="0.55000000000000004">
      <c r="E87" s="1">
        <v>14</v>
      </c>
      <c r="F87">
        <v>1</v>
      </c>
      <c r="G87" s="4">
        <f t="shared" si="4"/>
        <v>0.11726504264936048</v>
      </c>
      <c r="H87" s="4">
        <f t="shared" si="5"/>
        <v>0.11706679627780794</v>
      </c>
      <c r="I87" s="4">
        <f t="shared" si="6"/>
        <v>0.1152101928430237</v>
      </c>
      <c r="J87" s="3">
        <v>1.0570326227406635E-2</v>
      </c>
      <c r="L87" s="1">
        <v>24</v>
      </c>
      <c r="M87" s="2">
        <v>2.9100000000000001E-2</v>
      </c>
    </row>
    <row r="88" spans="5:13" x14ac:dyDescent="0.55000000000000004">
      <c r="E88" s="1">
        <v>14.25</v>
      </c>
      <c r="F88">
        <v>1</v>
      </c>
      <c r="G88" s="4">
        <f t="shared" si="4"/>
        <v>0.11521098738312946</v>
      </c>
      <c r="H88" s="4">
        <f t="shared" si="5"/>
        <v>0.11504073864077269</v>
      </c>
      <c r="I88" s="4">
        <f t="shared" si="6"/>
        <v>0.11689130768350442</v>
      </c>
      <c r="J88" s="3">
        <v>1.08448554631427E-2</v>
      </c>
      <c r="L88" s="1">
        <v>24.5</v>
      </c>
      <c r="M88" s="2">
        <v>2.9399999999999999E-2</v>
      </c>
    </row>
    <row r="89" spans="5:13" x14ac:dyDescent="0.55000000000000004">
      <c r="E89" s="1">
        <v>14.5</v>
      </c>
      <c r="F89">
        <v>1</v>
      </c>
      <c r="G89" s="4">
        <f t="shared" si="4"/>
        <v>0.11322731384195159</v>
      </c>
      <c r="H89" s="4">
        <f t="shared" si="5"/>
        <v>0.11308110872330517</v>
      </c>
      <c r="I89" s="4">
        <f t="shared" si="6"/>
        <v>0.11856061659990835</v>
      </c>
      <c r="J89" s="3">
        <v>1.1117891079060247E-2</v>
      </c>
      <c r="L89" s="1">
        <v>25</v>
      </c>
      <c r="M89" s="2">
        <v>2.9700000000000001E-2</v>
      </c>
    </row>
    <row r="90" spans="5:13" x14ac:dyDescent="0.55000000000000004">
      <c r="E90" s="1">
        <v>14.75</v>
      </c>
      <c r="F90">
        <v>1</v>
      </c>
      <c r="G90" s="4">
        <f t="shared" si="4"/>
        <v>0.11131050545876207</v>
      </c>
      <c r="H90" s="4">
        <f t="shared" si="5"/>
        <v>0.11118494836845699</v>
      </c>
      <c r="I90" s="4">
        <f t="shared" si="6"/>
        <v>0.12021818618083524</v>
      </c>
      <c r="J90" s="3">
        <v>1.1389416191277386E-2</v>
      </c>
      <c r="L90" s="1">
        <v>25.5</v>
      </c>
      <c r="M90" s="2">
        <v>0.03</v>
      </c>
    </row>
    <row r="91" spans="5:13" x14ac:dyDescent="0.55000000000000004">
      <c r="E91" s="1">
        <v>15</v>
      </c>
      <c r="F91">
        <v>1</v>
      </c>
      <c r="G91" s="4">
        <f t="shared" si="4"/>
        <v>0.10945727147132032</v>
      </c>
      <c r="H91" s="4">
        <f t="shared" si="5"/>
        <v>0.10934944636183148</v>
      </c>
      <c r="I91" s="4">
        <f t="shared" si="6"/>
        <v>0.12186408266245397</v>
      </c>
      <c r="J91" s="3">
        <v>1.1659415821324483E-2</v>
      </c>
      <c r="L91" s="1">
        <v>26</v>
      </c>
      <c r="M91" s="2">
        <v>3.0300000000000001E-2</v>
      </c>
    </row>
    <row r="92" spans="5:13" x14ac:dyDescent="0.55000000000000004">
      <c r="E92" s="1">
        <v>15.25</v>
      </c>
      <c r="F92">
        <v>1</v>
      </c>
      <c r="G92" s="4">
        <f t="shared" si="4"/>
        <v>0.10766452961283605</v>
      </c>
      <c r="H92" s="4">
        <f t="shared" si="5"/>
        <v>0.10757193225964773</v>
      </c>
      <c r="I92" s="4">
        <f t="shared" si="6"/>
        <v>0.1234983719303151</v>
      </c>
      <c r="J92" s="3">
        <v>1.19278767286547E-2</v>
      </c>
      <c r="L92" s="1">
        <v>26.5</v>
      </c>
      <c r="M92" s="2">
        <v>3.0499999999999999E-2</v>
      </c>
    </row>
    <row r="93" spans="5:13" x14ac:dyDescent="0.55000000000000004">
      <c r="E93" s="1">
        <v>15.5</v>
      </c>
      <c r="F93">
        <v>1</v>
      </c>
      <c r="G93" s="4">
        <f t="shared" si="4"/>
        <v>0.10592939031106612</v>
      </c>
      <c r="H93" s="4">
        <f t="shared" si="5"/>
        <v>0.10584987015237457</v>
      </c>
      <c r="I93" s="4">
        <f t="shared" si="6"/>
        <v>0.12512111952115923</v>
      </c>
      <c r="J93" s="3">
        <v>1.2194787259797382E-2</v>
      </c>
      <c r="L93" s="1">
        <v>27</v>
      </c>
      <c r="M93" s="2">
        <v>3.0800000000000001E-2</v>
      </c>
    </row>
    <row r="94" spans="5:13" x14ac:dyDescent="0.55000000000000004">
      <c r="E94" s="1">
        <v>15.75</v>
      </c>
      <c r="F94">
        <v>1</v>
      </c>
      <c r="G94" s="4">
        <f t="shared" si="4"/>
        <v>0.10424914225143359</v>
      </c>
      <c r="H94" s="4">
        <f t="shared" si="5"/>
        <v>0.10418085244162156</v>
      </c>
      <c r="I94" s="4">
        <f t="shared" si="6"/>
        <v>0.12673239062471175</v>
      </c>
      <c r="J94" s="3">
        <v>1.2460137212319063E-2</v>
      </c>
      <c r="L94" s="1">
        <v>27.5</v>
      </c>
      <c r="M94" s="2">
        <v>3.1099999999999999E-2</v>
      </c>
    </row>
    <row r="95" spans="5:13" x14ac:dyDescent="0.55000000000000004">
      <c r="E95" s="1">
        <v>16</v>
      </c>
      <c r="F95">
        <v>1</v>
      </c>
      <c r="G95" s="4">
        <f t="shared" si="4"/>
        <v>0.10262123917455676</v>
      </c>
      <c r="H95" s="4">
        <f t="shared" si="5"/>
        <v>0.1025625936914378</v>
      </c>
      <c r="I95" s="4">
        <f t="shared" si="6"/>
        <v>0.12833225008546945</v>
      </c>
      <c r="J95" s="3">
        <v>1.272391771197645E-2</v>
      </c>
      <c r="L95" s="1">
        <v>28</v>
      </c>
      <c r="M95" s="2">
        <v>3.1399999999999997E-2</v>
      </c>
    </row>
    <row r="96" spans="5:13" x14ac:dyDescent="0.55000000000000004">
      <c r="E96" s="1">
        <v>16.25</v>
      </c>
      <c r="F96">
        <v>1</v>
      </c>
      <c r="G96" s="4">
        <f t="shared" ref="G96:G127" si="7">IF(lambda=0,1,(1-EXP(-lambda*$E96))/(lambda*$E96))</f>
        <v>0.10104328779180538</v>
      </c>
      <c r="H96" s="4">
        <f t="shared" ref="H96:H127" si="8">G96-EXP(-lambda*$E96)</f>
        <v>0.10099292460145937</v>
      </c>
      <c r="I96" s="4">
        <f t="shared" ref="I96:I127" si="9">IF(gamma=0,0,(1-EXP(-gamma*$E96))/(gamma*$E96)-EXP(-gamma*$E96))</f>
        <v>0.12992076240448258</v>
      </c>
      <c r="J96" s="3">
        <v>1.2986121101635485E-2</v>
      </c>
      <c r="L96" s="1">
        <v>28.5</v>
      </c>
      <c r="M96" s="2">
        <v>3.1699999999999999E-2</v>
      </c>
    </row>
    <row r="97" spans="5:13" x14ac:dyDescent="0.55000000000000004">
      <c r="E97" s="1">
        <v>16.5</v>
      </c>
      <c r="F97">
        <v>1</v>
      </c>
      <c r="G97" s="4">
        <f t="shared" si="7"/>
        <v>9.9513036714306391E-2</v>
      </c>
      <c r="H97" s="4">
        <f t="shared" si="8"/>
        <v>9.9469786138014188E-2</v>
      </c>
      <c r="I97" s="4">
        <f t="shared" si="9"/>
        <v>0.13149799174112031</v>
      </c>
      <c r="J97" s="3">
        <v>1.3246740840694344E-2</v>
      </c>
      <c r="L97" s="1">
        <v>29</v>
      </c>
      <c r="M97" s="2">
        <v>3.2099999999999997E-2</v>
      </c>
    </row>
    <row r="98" spans="5:13" x14ac:dyDescent="0.55000000000000004">
      <c r="E98" s="1">
        <v>16.75</v>
      </c>
      <c r="F98">
        <v>1</v>
      </c>
      <c r="G98" s="4">
        <f t="shared" si="7"/>
        <v>9.8028366301360526E-2</v>
      </c>
      <c r="H98" s="4">
        <f t="shared" si="8"/>
        <v>9.7991223849963879E-2</v>
      </c>
      <c r="I98" s="4">
        <f t="shared" si="9"/>
        <v>0.13306400191483392</v>
      </c>
      <c r="J98" s="3">
        <v>1.3505771413899095E-2</v>
      </c>
      <c r="L98" s="1">
        <v>29.5</v>
      </c>
      <c r="M98" s="2">
        <v>3.2399999999999998E-2</v>
      </c>
    </row>
    <row r="99" spans="5:13" x14ac:dyDescent="0.55000000000000004">
      <c r="E99" s="1">
        <v>17</v>
      </c>
      <c r="F99">
        <v>1</v>
      </c>
      <c r="G99" s="4">
        <f t="shared" si="7"/>
        <v>9.6587279343646082E-2</v>
      </c>
      <c r="H99" s="4">
        <f t="shared" si="8"/>
        <v>9.6555382388414032E-2</v>
      </c>
      <c r="I99" s="4">
        <f t="shared" si="9"/>
        <v>0.13461885640690596</v>
      </c>
      <c r="J99" s="3">
        <v>1.3763208248564082E-2</v>
      </c>
      <c r="L99" s="1">
        <v>30</v>
      </c>
      <c r="M99" s="2">
        <v>3.27E-2</v>
      </c>
    </row>
    <row r="100" spans="5:13" x14ac:dyDescent="0.55000000000000004">
      <c r="E100" s="1">
        <v>17.25</v>
      </c>
      <c r="F100">
        <v>1</v>
      </c>
      <c r="G100" s="4">
        <f t="shared" si="7"/>
        <v>9.5187892505003299E-2</v>
      </c>
      <c r="H100" s="4">
        <f t="shared" si="8"/>
        <v>9.5160500243189172E-2</v>
      </c>
      <c r="I100" s="4">
        <f t="shared" si="9"/>
        <v>0.13616261836219523</v>
      </c>
      <c r="J100" s="3">
        <v>1.4019047639325703E-2</v>
      </c>
    </row>
    <row r="101" spans="5:13" x14ac:dyDescent="0.55000000000000004">
      <c r="E101" s="1">
        <v>17.5</v>
      </c>
      <c r="F101">
        <v>1</v>
      </c>
      <c r="G101" s="4">
        <f t="shared" si="7"/>
        <v>9.3828428454120705E-2</v>
      </c>
      <c r="H101" s="4">
        <f t="shared" si="8"/>
        <v>9.3804904703912118E-2</v>
      </c>
      <c r="I101" s="4">
        <f t="shared" si="9"/>
        <v>0.13769535059086835</v>
      </c>
      <c r="J101" s="3">
        <v>1.4273286679653737E-2</v>
      </c>
    </row>
    <row r="102" spans="5:13" x14ac:dyDescent="0.55000000000000004">
      <c r="E102" s="1">
        <v>17.75</v>
      </c>
      <c r="F102">
        <v>1</v>
      </c>
      <c r="G102" s="4">
        <f t="shared" si="7"/>
        <v>9.2507208624184351E-2</v>
      </c>
      <c r="H102" s="4">
        <f t="shared" si="8"/>
        <v>9.2487007049461126E-2</v>
      </c>
      <c r="I102" s="4">
        <f t="shared" si="9"/>
        <v>0.13921711557012584</v>
      </c>
      <c r="J102" s="3">
        <v>1.4525923199434375E-2</v>
      </c>
    </row>
    <row r="103" spans="5:13" x14ac:dyDescent="0.55000000000000004">
      <c r="E103" s="1">
        <v>18</v>
      </c>
      <c r="F103">
        <v>1</v>
      </c>
      <c r="G103" s="4">
        <f t="shared" si="7"/>
        <v>9.1222646544585576E-2</v>
      </c>
      <c r="H103" s="4">
        <f t="shared" si="8"/>
        <v>9.120529796633256E-2</v>
      </c>
      <c r="I103" s="4">
        <f t="shared" si="9"/>
        <v>0.14072797544591842</v>
      </c>
      <c r="J103" s="3">
        <v>1.477695570801368E-2</v>
      </c>
    </row>
    <row r="104" spans="5:13" x14ac:dyDescent="0.55000000000000004">
      <c r="E104" s="1">
        <v>18.25</v>
      </c>
      <c r="F104">
        <v>1</v>
      </c>
      <c r="G104" s="4">
        <f t="shared" si="7"/>
        <v>8.9973241694192935E-2</v>
      </c>
      <c r="H104" s="4">
        <f t="shared" si="8"/>
        <v>8.9958343193876772E-2</v>
      </c>
      <c r="I104" s="4">
        <f t="shared" si="9"/>
        <v>0.14222799203465331</v>
      </c>
      <c r="J104" s="3">
        <v>1.5026383342158346E-2</v>
      </c>
    </row>
    <row r="105" spans="5:13" x14ac:dyDescent="0.55000000000000004">
      <c r="E105" s="1">
        <v>18.5</v>
      </c>
      <c r="F105">
        <v>1</v>
      </c>
      <c r="G105" s="4">
        <f t="shared" si="7"/>
        <v>8.8757573830545167E-2</v>
      </c>
      <c r="H105" s="4">
        <f t="shared" si="8"/>
        <v>8.8744779392382359E-2</v>
      </c>
      <c r="I105" s="4">
        <f t="shared" si="9"/>
        <v>0.14371722682489507</v>
      </c>
      <c r="J105" s="3">
        <v>1.5274205818450966E-2</v>
      </c>
    </row>
    <row r="106" spans="5:13" x14ac:dyDescent="0.55000000000000004">
      <c r="E106" s="1">
        <v>18.75</v>
      </c>
      <c r="F106">
        <v>1</v>
      </c>
      <c r="G106" s="4">
        <f t="shared" si="7"/>
        <v>8.7574297753675687E-2</v>
      </c>
      <c r="H106" s="4">
        <f t="shared" si="8"/>
        <v>8.7563310228459867E-2</v>
      </c>
      <c r="I106" s="4">
        <f t="shared" si="9"/>
        <v>0.14519574097905252</v>
      </c>
      <c r="J106" s="3">
        <v>1.5520423389687314E-2</v>
      </c>
    </row>
    <row r="107" spans="5:13" x14ac:dyDescent="0.55000000000000004">
      <c r="E107" s="1">
        <v>19</v>
      </c>
      <c r="F107">
        <v>1</v>
      </c>
      <c r="G107" s="4">
        <f t="shared" si="7"/>
        <v>8.6422138467189463E-2</v>
      </c>
      <c r="H107" s="4">
        <f t="shared" si="8"/>
        <v>8.6412702671038649E-2</v>
      </c>
      <c r="I107" s="4">
        <f t="shared" si="9"/>
        <v>0.14666359533506401</v>
      </c>
      <c r="J107" s="3">
        <v>1.5765036804893155E-2</v>
      </c>
    </row>
    <row r="108" spans="5:13" x14ac:dyDescent="0.55000000000000004">
      <c r="E108" s="1">
        <v>19.25</v>
      </c>
      <c r="F108">
        <v>1</v>
      </c>
      <c r="G108" s="4">
        <f t="shared" si="7"/>
        <v>8.529988670272691E-2</v>
      </c>
      <c r="H108" s="4">
        <f t="shared" si="8"/>
        <v>8.5291783490470216E-2</v>
      </c>
      <c r="I108" s="4">
        <f t="shared" si="9"/>
        <v>0.14812085040806733</v>
      </c>
      <c r="J108" s="3">
        <v>1.6008047272614519E-2</v>
      </c>
    </row>
    <row r="109" spans="5:13" x14ac:dyDescent="0.55000000000000004">
      <c r="E109" s="1">
        <v>19.5</v>
      </c>
      <c r="F109">
        <v>1</v>
      </c>
      <c r="G109" s="4">
        <f t="shared" si="7"/>
        <v>8.4206394777109075E-2</v>
      </c>
      <c r="H109" s="4">
        <f t="shared" si="8"/>
        <v>8.4199435952667809E-2</v>
      </c>
      <c r="I109" s="4">
        <f t="shared" si="9"/>
        <v>0.14956756639206636</v>
      </c>
      <c r="J109" s="3">
        <v>1.6249456427176283E-2</v>
      </c>
    </row>
    <row r="110" spans="5:13" x14ac:dyDescent="0.55000000000000004">
      <c r="E110" s="1">
        <v>19.75</v>
      </c>
      <c r="F110">
        <v>1</v>
      </c>
      <c r="G110" s="4">
        <f t="shared" si="7"/>
        <v>8.3140572754302144E-2</v>
      </c>
      <c r="H110" s="4">
        <f t="shared" si="8"/>
        <v>8.3134596699859731E-2</v>
      </c>
      <c r="I110" s="4">
        <f t="shared" si="9"/>
        <v>0.15100380316158524</v>
      </c>
      <c r="J110" s="3">
        <v>1.6489266297632234E-2</v>
      </c>
    </row>
    <row r="111" spans="5:13" x14ac:dyDescent="0.55000000000000004">
      <c r="E111" s="1">
        <v>20</v>
      </c>
      <c r="F111">
        <v>1</v>
      </c>
      <c r="G111" s="4">
        <f t="shared" si="7"/>
        <v>8.2101384886900552E-2</v>
      </c>
      <c r="H111" s="4">
        <f t="shared" si="8"/>
        <v>8.2096252809349235E-2</v>
      </c>
      <c r="I111" s="4">
        <f t="shared" si="9"/>
        <v>0.15242962027331819</v>
      </c>
      <c r="J111" s="3">
        <v>1.6727479279161392E-2</v>
      </c>
    </row>
    <row r="112" spans="5:13" x14ac:dyDescent="0.55000000000000004">
      <c r="E112" s="1">
        <v>20.25</v>
      </c>
      <c r="F112">
        <v>1</v>
      </c>
      <c r="G112" s="4">
        <f t="shared" si="7"/>
        <v>8.1087846314134765E-2</v>
      </c>
      <c r="H112" s="4">
        <f t="shared" si="8"/>
        <v>8.1083439021623196E-2</v>
      </c>
      <c r="I112" s="4">
        <f t="shared" si="9"/>
        <v>0.15384507696776673</v>
      </c>
      <c r="J112" s="3">
        <v>1.6964098106687767E-2</v>
      </c>
    </row>
    <row r="113" spans="5:10" x14ac:dyDescent="0.55000000000000004">
      <c r="E113" s="1">
        <v>20.5</v>
      </c>
      <c r="F113">
        <v>1</v>
      </c>
      <c r="G113" s="4">
        <f t="shared" si="7"/>
        <v>8.0099019995491821E-2</v>
      </c>
      <c r="H113" s="4">
        <f t="shared" si="8"/>
        <v>8.0095235129209436E-2</v>
      </c>
      <c r="I113" s="4">
        <f t="shared" si="9"/>
        <v>0.15525023217087131</v>
      </c>
      <c r="J113" s="3">
        <v>1.7199125830525935E-2</v>
      </c>
    </row>
    <row r="114" spans="5:10" x14ac:dyDescent="0.55000000000000004">
      <c r="E114" s="1">
        <v>20.75</v>
      </c>
      <c r="F114">
        <v>1</v>
      </c>
      <c r="G114" s="4">
        <f t="shared" si="7"/>
        <v>7.9134013860914135E-2</v>
      </c>
      <c r="H114" s="4">
        <f t="shared" si="8"/>
        <v>7.9130763517820751E-2</v>
      </c>
      <c r="I114" s="4">
        <f t="shared" si="9"/>
        <v>0.1566451444956356</v>
      </c>
      <c r="J114" s="3">
        <v>1.7432565793873128E-2</v>
      </c>
    </row>
    <row r="115" spans="5:10" x14ac:dyDescent="0.55000000000000004">
      <c r="E115" s="1">
        <v>21</v>
      </c>
      <c r="F115">
        <v>1</v>
      </c>
      <c r="G115" s="4">
        <f t="shared" si="7"/>
        <v>7.8191978160238401E-2</v>
      </c>
      <c r="H115" s="4">
        <f t="shared" si="8"/>
        <v>7.8189186851527218E-2</v>
      </c>
      <c r="I115" s="4">
        <f t="shared" si="9"/>
        <v>0.1580298722437371</v>
      </c>
      <c r="J115" s="3">
        <v>1.7664421611985663E-2</v>
      </c>
    </row>
    <row r="116" spans="5:10" x14ac:dyDescent="0.55000000000000004">
      <c r="E116" s="1">
        <v>21.25</v>
      </c>
      <c r="F116">
        <v>1</v>
      </c>
      <c r="G116" s="4">
        <f t="shared" si="7"/>
        <v>7.7272102996069125E-2</v>
      </c>
      <c r="H116" s="4">
        <f t="shared" si="8"/>
        <v>7.7269705893948729E-2</v>
      </c>
      <c r="I116" s="4">
        <f t="shared" si="9"/>
        <v>0.15940447340713781</v>
      </c>
      <c r="J116" s="3">
        <v>1.7894697152896891E-2</v>
      </c>
    </row>
    <row r="117" spans="5:10" x14ac:dyDescent="0.55000000000000004">
      <c r="E117" s="1">
        <v>21.5</v>
      </c>
      <c r="F117">
        <v>1</v>
      </c>
      <c r="G117" s="4">
        <f t="shared" si="7"/>
        <v>7.6373616025667487E-2</v>
      </c>
      <c r="H117" s="4">
        <f t="shared" si="8"/>
        <v>7.637155745774464E-2</v>
      </c>
      <c r="I117" s="4">
        <f t="shared" si="9"/>
        <v>0.16076900566967867</v>
      </c>
      <c r="J117" s="3">
        <v>1.8123396519542596E-2</v>
      </c>
    </row>
    <row r="118" spans="5:10" x14ac:dyDescent="0.55000000000000004">
      <c r="E118" s="1">
        <v>21.75</v>
      </c>
      <c r="F118">
        <v>1</v>
      </c>
      <c r="G118" s="4">
        <f t="shared" si="7"/>
        <v>7.5495780318690558E-2</v>
      </c>
      <c r="H118" s="4">
        <f t="shared" si="8"/>
        <v>7.5494012474985897E-2</v>
      </c>
      <c r="I118" s="4">
        <f t="shared" si="9"/>
        <v>0.16212352640867145</v>
      </c>
      <c r="J118" s="3">
        <v>1.8350524033177804E-2</v>
      </c>
    </row>
    <row r="119" spans="5:10" x14ac:dyDescent="0.55000000000000004">
      <c r="E119" s="1">
        <v>22</v>
      </c>
      <c r="F119">
        <v>1</v>
      </c>
      <c r="G119" s="4">
        <f t="shared" si="7"/>
        <v>7.4637892358752608E-2</v>
      </c>
      <c r="H119" s="4">
        <f t="shared" si="8"/>
        <v>7.4636374181319937E-2</v>
      </c>
      <c r="I119" s="4">
        <f t="shared" si="9"/>
        <v>0.16346809269647999</v>
      </c>
      <c r="J119" s="3">
        <v>1.8576084217976331E-2</v>
      </c>
    </row>
    <row r="120" spans="5:10" x14ac:dyDescent="0.55000000000000004">
      <c r="E120" s="1">
        <v>22.25</v>
      </c>
      <c r="F120">
        <v>1</v>
      </c>
      <c r="G120" s="4">
        <f t="shared" si="7"/>
        <v>7.3799280177809318E-2</v>
      </c>
      <c r="H120" s="4">
        <f t="shared" si="8"/>
        <v>7.3797976407169966E-2</v>
      </c>
      <c r="I120" s="4">
        <f t="shared" si="9"/>
        <v>0.16480276130209426</v>
      </c>
      <c r="J120" s="3">
        <v>1.8800081786716619E-2</v>
      </c>
    </row>
    <row r="121" spans="5:10" x14ac:dyDescent="0.55000000000000004">
      <c r="E121" s="1">
        <v>22.5</v>
      </c>
      <c r="F121">
        <v>1</v>
      </c>
      <c r="G121" s="4">
        <f t="shared" si="7"/>
        <v>7.2979301613300199E-2</v>
      </c>
      <c r="H121" s="4">
        <f t="shared" si="8"/>
        <v>7.2978181969546155E-2</v>
      </c>
      <c r="I121" s="4">
        <f t="shared" si="9"/>
        <v>0.16612758869269517</v>
      </c>
      <c r="J121" s="3">
        <v>1.9022521627465344E-2</v>
      </c>
    </row>
    <row r="122" spans="5:10" x14ac:dyDescent="0.55000000000000004">
      <c r="E122" s="1">
        <v>22.75</v>
      </c>
      <c r="F122">
        <v>1</v>
      </c>
      <c r="G122" s="4">
        <f t="shared" si="7"/>
        <v>7.2177342678831941E-2</v>
      </c>
      <c r="H122" s="4">
        <f t="shared" si="8"/>
        <v>7.217638115837878E-2</v>
      </c>
      <c r="I122" s="4">
        <f t="shared" si="9"/>
        <v>0.16744263103521362</v>
      </c>
      <c r="J122" s="3">
        <v>1.9243408791179566E-2</v>
      </c>
    </row>
    <row r="123" spans="5:10" x14ac:dyDescent="0.55000000000000004">
      <c r="E123" s="1">
        <v>23</v>
      </c>
      <c r="F123">
        <v>1</v>
      </c>
      <c r="G123" s="4">
        <f t="shared" si="7"/>
        <v>7.1392816039955523E-2</v>
      </c>
      <c r="H123" s="4">
        <f t="shared" si="8"/>
        <v>7.1391990311612447E-2</v>
      </c>
      <c r="I123" s="4">
        <f t="shared" si="9"/>
        <v>0.1687479441978802</v>
      </c>
      <c r="J123" s="3">
        <v>1.9462748480153981E-2</v>
      </c>
    </row>
    <row r="124" spans="5:10" x14ac:dyDescent="0.55000000000000004">
      <c r="E124" s="1">
        <v>23.25</v>
      </c>
      <c r="F124">
        <v>1</v>
      </c>
      <c r="G124" s="4">
        <f t="shared" si="7"/>
        <v>7.062515958728964E-2</v>
      </c>
      <c r="H124" s="4">
        <f t="shared" si="8"/>
        <v>7.062445047362044E-2</v>
      </c>
      <c r="I124" s="4">
        <f t="shared" si="9"/>
        <v>0.17004358375176631</v>
      </c>
      <c r="J124" s="3">
        <v>1.9680546037247441E-2</v>
      </c>
    </row>
    <row r="125" spans="5:10" x14ac:dyDescent="0.55000000000000004">
      <c r="E125" s="1">
        <v>23.5</v>
      </c>
      <c r="F125">
        <v>1</v>
      </c>
      <c r="G125" s="4">
        <f t="shared" si="7"/>
        <v>6.987383509987978E-2</v>
      </c>
      <c r="H125" s="4">
        <f t="shared" si="8"/>
        <v>6.9873226131809282E-2</v>
      </c>
      <c r="I125" s="4">
        <f t="shared" si="9"/>
        <v>0.17132960497231942</v>
      </c>
      <c r="J125" s="3">
        <v>1.9896806935828855E-2</v>
      </c>
    </row>
    <row r="126" spans="5:10" x14ac:dyDescent="0.55000000000000004">
      <c r="E126" s="1">
        <v>23.75</v>
      </c>
      <c r="F126">
        <v>1</v>
      </c>
      <c r="G126" s="4">
        <f t="shared" si="7"/>
        <v>6.9138326992261481E-2</v>
      </c>
      <c r="H126" s="4">
        <f t="shared" si="8"/>
        <v>6.9137804026583344E-2</v>
      </c>
      <c r="I126" s="4">
        <f t="shared" si="9"/>
        <v>0.17260606284088909</v>
      </c>
      <c r="J126" s="3">
        <v>2.0111536770387059E-2</v>
      </c>
    </row>
    <row r="127" spans="5:10" x14ac:dyDescent="0.55000000000000004">
      <c r="E127" s="1">
        <v>24</v>
      </c>
      <c r="F127">
        <v>1</v>
      </c>
      <c r="G127" s="4">
        <f t="shared" si="7"/>
        <v>6.8418141139224314E-2</v>
      </c>
      <c r="H127" s="4">
        <f t="shared" si="8"/>
        <v>6.8417692030126875E-2</v>
      </c>
      <c r="I127" s="4">
        <f t="shared" si="9"/>
        <v>0.17387301204624495</v>
      </c>
      <c r="J127" s="3">
        <v>2.0324741247754605E-2</v>
      </c>
    </row>
    <row r="128" spans="5:10" x14ac:dyDescent="0.55000000000000004">
      <c r="E128" s="1">
        <v>24.25</v>
      </c>
      <c r="F128">
        <v>1</v>
      </c>
      <c r="G128" s="4">
        <f t="shared" ref="G128:G159" si="10">IF(lambda=0,1,(1-EXP(-lambda*$E128))/(lambda*$E128))</f>
        <v>6.7712803772754487E-2</v>
      </c>
      <c r="H128" s="4">
        <f t="shared" ref="H128:H159" si="11">G128-EXP(-lambda*$E128)</f>
        <v>6.7712418089735812E-2</v>
      </c>
      <c r="I128" s="4">
        <f t="shared" ref="I128:I159" si="12">IF(gamma=0,0,(1-EXP(-gamma*$E128))/(gamma*$E128)-EXP(-gamma*$E128))</f>
        <v>0.17513050698608867</v>
      </c>
      <c r="J128" s="3">
        <v>2.053642617890012E-2</v>
      </c>
    </row>
    <row r="129" spans="5:10" x14ac:dyDescent="0.55000000000000004">
      <c r="E129" s="1">
        <v>24.5</v>
      </c>
      <c r="F129">
        <v>1</v>
      </c>
      <c r="G129" s="4">
        <f t="shared" si="10"/>
        <v>6.7021860446072237E-2</v>
      </c>
      <c r="H129" s="4">
        <f t="shared" si="11"/>
        <v>6.7021529231693064E-2</v>
      </c>
      <c r="I129" s="4">
        <f t="shared" si="12"/>
        <v>0.17637860176855669</v>
      </c>
      <c r="J129" s="3">
        <v>2.0746597471246651E-2</v>
      </c>
    </row>
    <row r="130" spans="5:10" x14ac:dyDescent="0.55000000000000004">
      <c r="E130" s="1">
        <v>24.75</v>
      </c>
      <c r="F130">
        <v>1</v>
      </c>
      <c r="G130" s="4">
        <f t="shared" si="10"/>
        <v>6.6344875060081826E-2</v>
      </c>
      <c r="H130" s="4">
        <f t="shared" si="11"/>
        <v>6.6344590621930127E-2</v>
      </c>
      <c r="I130" s="4">
        <f t="shared" si="12"/>
        <v>0.17761735021371594</v>
      </c>
      <c r="J130" s="3">
        <v>2.095526112147808E-2</v>
      </c>
    </row>
    <row r="131" spans="5:10" x14ac:dyDescent="0.55000000000000004">
      <c r="E131" s="1">
        <v>25</v>
      </c>
      <c r="F131">
        <v>1</v>
      </c>
      <c r="G131" s="4">
        <f t="shared" si="10"/>
        <v>6.5681428947916967E-2</v>
      </c>
      <c r="H131" s="4">
        <f t="shared" si="11"/>
        <v>6.5681184679952695E-2</v>
      </c>
      <c r="I131" s="4">
        <f t="shared" si="12"/>
        <v>0.17884680585505064</v>
      </c>
      <c r="J131" s="3">
        <v>2.1162423208797951E-2</v>
      </c>
    </row>
    <row r="132" spans="5:10" x14ac:dyDescent="0.55000000000000004">
      <c r="E132" s="1">
        <v>25.25</v>
      </c>
      <c r="F132">
        <v>1</v>
      </c>
      <c r="G132" s="4">
        <f t="shared" si="10"/>
        <v>6.5031120013599994E-2</v>
      </c>
      <c r="H132" s="4">
        <f t="shared" si="11"/>
        <v>6.5030910242730597E-2</v>
      </c>
      <c r="I132" s="4">
        <f t="shared" si="12"/>
        <v>0.18006702194094548</v>
      </c>
      <c r="J132" s="3">
        <v>2.1368089888609478E-2</v>
      </c>
    </row>
    <row r="133" spans="5:10" x14ac:dyDescent="0.55000000000000004">
      <c r="E133" s="1">
        <v>25.5</v>
      </c>
      <c r="F133">
        <v>1</v>
      </c>
      <c r="G133" s="4">
        <f t="shared" si="10"/>
        <v>6.4393561921138723E-2</v>
      </c>
      <c r="H133" s="4">
        <f t="shared" si="11"/>
        <v>6.4393381775462319E-2</v>
      </c>
      <c r="I133" s="4">
        <f t="shared" si="12"/>
        <v>0.18127805143615527</v>
      </c>
      <c r="J133" s="3">
        <v>2.1572267386585284E-2</v>
      </c>
    </row>
    <row r="134" spans="5:10" x14ac:dyDescent="0.55000000000000004">
      <c r="E134" s="1">
        <v>25.75</v>
      </c>
      <c r="F134">
        <v>1</v>
      </c>
      <c r="G134" s="4">
        <f t="shared" si="10"/>
        <v>6.3768383330665021E-2</v>
      </c>
      <c r="H134" s="4">
        <f t="shared" si="11"/>
        <v>6.3768228626321088E-2</v>
      </c>
      <c r="I134" s="4">
        <f t="shared" si="12"/>
        <v>0.18247994702327264</v>
      </c>
      <c r="J134" s="3">
        <v>2.1774961993101485E-2</v>
      </c>
    </row>
    <row r="135" spans="5:10" x14ac:dyDescent="0.55000000000000004">
      <c r="E135" s="1">
        <v>26</v>
      </c>
      <c r="F135">
        <v>1</v>
      </c>
      <c r="G135" s="4">
        <f t="shared" si="10"/>
        <v>6.3155227178476672E-2</v>
      </c>
      <c r="H135" s="4">
        <f t="shared" si="11"/>
        <v>6.3155094322476402E-2</v>
      </c>
      <c r="I135" s="4">
        <f t="shared" si="12"/>
        <v>0.18367276110418451</v>
      </c>
      <c r="J135" s="3">
        <v>2.1976180058009696E-2</v>
      </c>
    </row>
    <row r="136" spans="5:10" x14ac:dyDescent="0.55000000000000004">
      <c r="E136" s="1">
        <v>26.25</v>
      </c>
      <c r="F136">
        <v>1</v>
      </c>
      <c r="G136" s="4">
        <f t="shared" si="10"/>
        <v>6.255374999807832E-2</v>
      </c>
      <c r="H136" s="4">
        <f t="shared" si="11"/>
        <v>6.2553635904857935E-2</v>
      </c>
      <c r="I136" s="4">
        <f t="shared" si="12"/>
        <v>0.184856545801524</v>
      </c>
      <c r="J136" s="3">
        <v>2.2175927985724618E-2</v>
      </c>
    </row>
    <row r="137" spans="5:10" x14ac:dyDescent="0.55000000000000004">
      <c r="E137" s="1">
        <v>26.5</v>
      </c>
      <c r="F137">
        <v>1</v>
      </c>
      <c r="G137" s="4">
        <f t="shared" si="10"/>
        <v>6.1963621279533962E-2</v>
      </c>
      <c r="H137" s="4">
        <f t="shared" si="11"/>
        <v>6.1963523299292861E-2</v>
      </c>
      <c r="I137" s="4">
        <f t="shared" si="12"/>
        <v>0.18603135296011208</v>
      </c>
      <c r="J137" s="3">
        <v>2.237421223060522E-2</v>
      </c>
    </row>
    <row r="138" spans="5:10" x14ac:dyDescent="0.55000000000000004">
      <c r="E138" s="1">
        <v>26.75</v>
      </c>
      <c r="F138">
        <v>1</v>
      </c>
      <c r="G138" s="4">
        <f t="shared" si="10"/>
        <v>6.1384522864641564E-2</v>
      </c>
      <c r="H138" s="4">
        <f t="shared" si="11"/>
        <v>6.1384438721801049E-2</v>
      </c>
      <c r="I138" s="4">
        <f t="shared" si="12"/>
        <v>0.18719723414839473</v>
      </c>
      <c r="J138" s="3">
        <v>2.2571039292610614E-2</v>
      </c>
    </row>
    <row r="139" spans="5:10" x14ac:dyDescent="0.55000000000000004">
      <c r="E139" s="1">
        <v>27</v>
      </c>
      <c r="F139">
        <v>1</v>
      </c>
      <c r="G139" s="4">
        <f t="shared" si="10"/>
        <v>6.0816148375622055E-2</v>
      </c>
      <c r="H139" s="4">
        <f t="shared" si="11"/>
        <v>6.0816076115975316E-2</v>
      </c>
      <c r="I139" s="4">
        <f t="shared" si="12"/>
        <v>0.1883542406598705</v>
      </c>
      <c r="J139" s="3">
        <v>2.2766415713211682E-2</v>
      </c>
    </row>
    <row r="140" spans="5:10" x14ac:dyDescent="0.55000000000000004">
      <c r="E140" s="1">
        <v>27.25</v>
      </c>
      <c r="F140">
        <v>1</v>
      </c>
      <c r="G140" s="4">
        <f t="shared" si="10"/>
        <v>6.0258202675182712E-2</v>
      </c>
      <c r="H140" s="4">
        <f t="shared" si="11"/>
        <v>6.0258140620508605E-2</v>
      </c>
      <c r="I140" s="4">
        <f t="shared" si="12"/>
        <v>0.18950242351451163</v>
      </c>
      <c r="J140" s="3">
        <v>2.2960348071542139E-2</v>
      </c>
    </row>
    <row r="141" spans="5:10" x14ac:dyDescent="0.55000000000000004">
      <c r="E141" s="1">
        <v>27.5</v>
      </c>
      <c r="F141">
        <v>1</v>
      </c>
      <c r="G141" s="4">
        <f t="shared" si="10"/>
        <v>5.9710401355968751E-2</v>
      </c>
      <c r="H141" s="4">
        <f t="shared" si="11"/>
        <v>5.9710348065055319E-2</v>
      </c>
      <c r="I141" s="4">
        <f t="shared" si="12"/>
        <v>0.19064183346017927</v>
      </c>
      <c r="J141" s="3">
        <v>2.3152842980773577E-2</v>
      </c>
    </row>
    <row r="142" spans="5:10" x14ac:dyDescent="0.55000000000000004">
      <c r="E142" s="1">
        <v>27.75</v>
      </c>
      <c r="F142">
        <v>1</v>
      </c>
      <c r="G142" s="4">
        <f t="shared" si="10"/>
        <v>5.9172470257558396E-2</v>
      </c>
      <c r="H142" s="4">
        <f t="shared" si="11"/>
        <v>5.9172424492730927E-2</v>
      </c>
      <c r="I142" s="4">
        <f t="shared" si="12"/>
        <v>0.1917725209740283</v>
      </c>
      <c r="J142" s="3">
        <v>2.3343907084699404E-2</v>
      </c>
    </row>
    <row r="143" spans="5:10" x14ac:dyDescent="0.55000000000000004">
      <c r="E143" s="1">
        <v>28</v>
      </c>
      <c r="F143">
        <v>1</v>
      </c>
      <c r="G143" s="4">
        <f t="shared" si="10"/>
        <v>5.8644145009287836E-2</v>
      </c>
      <c r="H143" s="4">
        <f t="shared" si="11"/>
        <v>5.8644105707664006E-2</v>
      </c>
      <c r="I143" s="4">
        <f t="shared" si="12"/>
        <v>0.19289453626390962</v>
      </c>
      <c r="J143" s="3">
        <v>2.3533547054515491E-2</v>
      </c>
    </row>
    <row r="144" spans="5:10" x14ac:dyDescent="0.55000000000000004">
      <c r="E144" s="1">
        <v>28.25</v>
      </c>
      <c r="F144">
        <v>1</v>
      </c>
      <c r="G144" s="4">
        <f t="shared" si="10"/>
        <v>5.8125170597311981E-2</v>
      </c>
      <c r="H144" s="4">
        <f t="shared" si="11"/>
        <v>5.8125136846116546E-2</v>
      </c>
      <c r="I144" s="4">
        <f t="shared" si="12"/>
        <v>0.19400792926975996</v>
      </c>
      <c r="J144" s="3">
        <v>2.3721769585783668E-2</v>
      </c>
    </row>
    <row r="145" spans="5:10" x14ac:dyDescent="0.55000000000000004">
      <c r="E145" s="1">
        <v>28.5</v>
      </c>
      <c r="F145">
        <v>1</v>
      </c>
      <c r="G145" s="4">
        <f t="shared" si="10"/>
        <v>5.7615300954418559E-2</v>
      </c>
      <c r="H145" s="4">
        <f t="shared" si="11"/>
        <v>5.7615271969784283E-2</v>
      </c>
      <c r="I145" s="4">
        <f t="shared" si="12"/>
        <v>0.19511274966498904</v>
      </c>
      <c r="J145" s="3">
        <v>2.3908581395568076E-2</v>
      </c>
    </row>
    <row r="146" spans="5:10" x14ac:dyDescent="0.55000000000000004">
      <c r="E146" s="1">
        <v>28.75</v>
      </c>
      <c r="F146">
        <v>1</v>
      </c>
      <c r="G146" s="4">
        <f t="shared" si="10"/>
        <v>5.7114298571215104E-2</v>
      </c>
      <c r="H146" s="4">
        <f t="shared" si="11"/>
        <v>5.7114273679977526E-2</v>
      </c>
      <c r="I146" s="4">
        <f t="shared" si="12"/>
        <v>0.19620904685785667</v>
      </c>
      <c r="J146" s="3">
        <v>2.4093989219732589E-2</v>
      </c>
    </row>
    <row r="147" spans="5:10" x14ac:dyDescent="0.55000000000000004">
      <c r="E147" s="1">
        <v>29</v>
      </c>
      <c r="F147">
        <v>1</v>
      </c>
      <c r="G147" s="4">
        <f t="shared" si="10"/>
        <v>5.6621934127402934E-2</v>
      </c>
      <c r="H147" s="4">
        <f t="shared" si="11"/>
        <v>5.6621912751466219E-2</v>
      </c>
      <c r="I147" s="4">
        <f t="shared" si="12"/>
        <v>0.19729686999284624</v>
      </c>
      <c r="J147" s="3">
        <v>2.4277999810390343E-2</v>
      </c>
    </row>
    <row r="148" spans="5:10" x14ac:dyDescent="0.55000000000000004">
      <c r="E148" s="1">
        <v>29.25</v>
      </c>
      <c r="F148">
        <v>1</v>
      </c>
      <c r="G148" s="4">
        <f t="shared" si="10"/>
        <v>5.6137986141939884E-2</v>
      </c>
      <c r="H148" s="4">
        <f t="shared" si="11"/>
        <v>5.6137967784850598E-2</v>
      </c>
      <c r="I148" s="4">
        <f t="shared" si="12"/>
        <v>0.19837626795202667</v>
      </c>
      <c r="J148" s="3">
        <v>2.4460619933494868E-2</v>
      </c>
    </row>
    <row r="149" spans="5:10" x14ac:dyDescent="0.55000000000000004">
      <c r="E149" s="1">
        <v>29.5</v>
      </c>
      <c r="F149">
        <v>1</v>
      </c>
      <c r="G149" s="4">
        <f t="shared" si="10"/>
        <v>5.5662240640973928E-2</v>
      </c>
      <c r="H149" s="4">
        <f t="shared" si="11"/>
        <v>5.5662224876391005E-2</v>
      </c>
      <c r="I149" s="4">
        <f t="shared" si="12"/>
        <v>0.19944728935641121</v>
      </c>
      <c r="J149" s="3">
        <v>2.4641856366565663E-2</v>
      </c>
    </row>
    <row r="150" spans="5:10" x14ac:dyDescent="0.55000000000000004">
      <c r="E150" s="1">
        <v>29.75</v>
      </c>
      <c r="F150">
        <v>1</v>
      </c>
      <c r="G150" s="4">
        <f t="shared" si="10"/>
        <v>5.5194490842504891E-2</v>
      </c>
      <c r="H150" s="4">
        <f t="shared" si="11"/>
        <v>5.5194477304297884E-2</v>
      </c>
      <c r="I150" s="4">
        <f t="shared" si="12"/>
        <v>0.20050998256730779</v>
      </c>
      <c r="J150" s="3">
        <v>2.4821715896539271E-2</v>
      </c>
    </row>
    <row r="151" spans="5:10" x14ac:dyDescent="0.55000000000000004">
      <c r="E151" s="1">
        <v>30</v>
      </c>
      <c r="F151">
        <v>1</v>
      </c>
      <c r="G151" s="4">
        <f t="shared" si="10"/>
        <v>5.4734536856800541E-2</v>
      </c>
      <c r="H151" s="4">
        <f t="shared" si="11"/>
        <v>5.4734525230546303E-2</v>
      </c>
      <c r="I151" s="4">
        <f t="shared" si="12"/>
        <v>0.20156439568766193</v>
      </c>
      <c r="J151" s="3">
        <v>2.5000205317738555E-2</v>
      </c>
    </row>
    <row r="152" spans="5:10" x14ac:dyDescent="0.55000000000000004">
      <c r="E152" s="1">
        <v>30.25</v>
      </c>
      <c r="F152">
        <v>1</v>
      </c>
      <c r="G152" s="4">
        <f t="shared" si="10"/>
        <v>5.428218540165726E-2</v>
      </c>
      <c r="H152" s="4">
        <f t="shared" si="11"/>
        <v>5.4282175417337514E-2</v>
      </c>
      <c r="I152" s="4">
        <f t="shared" si="12"/>
        <v>0.20261057656339532</v>
      </c>
      <c r="J152" s="3">
        <v>2.5177331429953782E-2</v>
      </c>
    </row>
    <row r="153" spans="5:10" x14ac:dyDescent="0.55000000000000004">
      <c r="E153" s="1">
        <v>30.5</v>
      </c>
      <c r="F153">
        <v>1</v>
      </c>
      <c r="G153" s="4">
        <f t="shared" si="10"/>
        <v>5.383724953165523E-2</v>
      </c>
      <c r="H153" s="4">
        <f t="shared" si="11"/>
        <v>5.3837240957385415E-2</v>
      </c>
      <c r="I153" s="4">
        <f t="shared" si="12"/>
        <v>0.20364857278473358</v>
      </c>
      <c r="J153" s="3">
        <v>2.5353101036627877E-2</v>
      </c>
    </row>
    <row r="154" spans="5:10" x14ac:dyDescent="0.55000000000000004">
      <c r="E154" s="1">
        <v>30.75</v>
      </c>
      <c r="F154">
        <v>1</v>
      </c>
      <c r="G154" s="4">
        <f t="shared" si="10"/>
        <v>5.3399548380612963E-2</v>
      </c>
      <c r="H154" s="4">
        <f t="shared" si="11"/>
        <v>5.3399541017256739E-2</v>
      </c>
      <c r="I154" s="4">
        <f t="shared" si="12"/>
        <v>0.20467843168753164</v>
      </c>
      <c r="J154" s="3">
        <v>2.5527520943141212E-2</v>
      </c>
    </row>
    <row r="155" spans="5:10" x14ac:dyDescent="0.55000000000000004">
      <c r="E155" s="1">
        <v>31</v>
      </c>
      <c r="F155">
        <v>1</v>
      </c>
      <c r="G155" s="4">
        <f t="shared" si="10"/>
        <v>5.2968906916496875E-2</v>
      </c>
      <c r="H155" s="4">
        <f t="shared" si="11"/>
        <v>5.2968900593041233E-2</v>
      </c>
      <c r="I155" s="4">
        <f t="shared" si="12"/>
        <v>0.20570020035458803</v>
      </c>
      <c r="J155" s="3">
        <v>2.5700597955188781E-2</v>
      </c>
    </row>
    <row r="156" spans="5:10" x14ac:dyDescent="0.55000000000000004">
      <c r="E156" s="1">
        <v>31.25</v>
      </c>
      <c r="F156">
        <v>1</v>
      </c>
      <c r="G156" s="4">
        <f t="shared" si="10"/>
        <v>5.254515570808977E-2</v>
      </c>
      <c r="H156" s="4">
        <f t="shared" si="11"/>
        <v>5.2545150277673258E-2</v>
      </c>
      <c r="I156" s="4">
        <f t="shared" si="12"/>
        <v>0.20671392561695712</v>
      </c>
      <c r="J156" s="3">
        <v>2.5872338877245979E-2</v>
      </c>
    </row>
    <row r="157" spans="5:10" x14ac:dyDescent="0.55000000000000004">
      <c r="E157" s="1">
        <v>31.5</v>
      </c>
      <c r="F157">
        <v>1</v>
      </c>
      <c r="G157" s="4">
        <f t="shared" si="10"/>
        <v>5.21281307027655E-2</v>
      </c>
      <c r="H157" s="4">
        <f t="shared" si="11"/>
        <v>5.2128126039267378E-2</v>
      </c>
      <c r="I157" s="4">
        <f t="shared" si="12"/>
        <v>0.20771965405525017</v>
      </c>
      <c r="J157" s="3">
        <v>2.6042750511116528E-2</v>
      </c>
    </row>
    <row r="158" spans="5:10" x14ac:dyDescent="0.55000000000000004">
      <c r="E158" s="1">
        <v>31.75</v>
      </c>
      <c r="F158">
        <v>1</v>
      </c>
      <c r="G158" s="4">
        <f t="shared" si="10"/>
        <v>5.1717673014758214E-2</v>
      </c>
      <c r="H158" s="4">
        <f t="shared" si="11"/>
        <v>5.1717669009869328E-2</v>
      </c>
      <c r="I158" s="4">
        <f t="shared" si="12"/>
        <v>0.20871743200093285</v>
      </c>
      <c r="J158" s="3">
        <v>2.6211839654559019E-2</v>
      </c>
    </row>
    <row r="159" spans="5:10" x14ac:dyDescent="0.55000000000000004">
      <c r="E159" s="1">
        <v>32</v>
      </c>
      <c r="F159">
        <v>1</v>
      </c>
      <c r="G159" s="4">
        <f t="shared" si="10"/>
        <v>5.1313628723353204E-2</v>
      </c>
      <c r="H159" s="4">
        <f t="shared" si="11"/>
        <v>5.1313625284060513E-2</v>
      </c>
      <c r="I159" s="4">
        <f t="shared" si="12"/>
        <v>0.2097073055376153</v>
      </c>
      <c r="J159" s="3">
        <v>2.6379613099987334E-2</v>
      </c>
    </row>
    <row r="160" spans="5:10" x14ac:dyDescent="0.55000000000000004">
      <c r="E160" s="1">
        <v>32.25</v>
      </c>
      <c r="F160">
        <v>1</v>
      </c>
      <c r="G160" s="4">
        <f t="shared" ref="G160:G191" si="13">IF(lambda=0,1,(1-EXP(-lambda*$E160))/(lambda*$E160))</f>
        <v>5.0915848680461118E-2</v>
      </c>
      <c r="H160" s="4">
        <f t="shared" ref="H160:H191" si="14">G160-EXP(-lambda*$E160)</f>
        <v>5.0915845726887489E-2</v>
      </c>
      <c r="I160" s="4">
        <f t="shared" ref="I160:I191" si="15">IF(gamma=0,0,(1-EXP(-gamma*$E160))/(gamma*$E160)-EXP(-gamma*$E160))</f>
        <v>0.21068932050233424</v>
      </c>
      <c r="J160" s="3">
        <v>2.6546077633240413E-2</v>
      </c>
    </row>
    <row r="161" spans="5:10" x14ac:dyDescent="0.55000000000000004">
      <c r="E161" s="1">
        <v>32.5</v>
      </c>
      <c r="F161">
        <v>1</v>
      </c>
      <c r="G161" s="4">
        <f t="shared" si="13"/>
        <v>5.0524188327070813E-2</v>
      </c>
      <c r="H161" s="4">
        <f t="shared" si="14"/>
        <v>5.0524185790619867E-2</v>
      </c>
      <c r="I161" s="4">
        <f t="shared" si="15"/>
        <v>0.21166352248683151</v>
      </c>
      <c r="J161" s="3">
        <v>2.6711240032418721E-2</v>
      </c>
    </row>
    <row r="162" spans="5:10" x14ac:dyDescent="0.55000000000000004">
      <c r="E162" s="1">
        <v>32.75</v>
      </c>
      <c r="F162">
        <v>1</v>
      </c>
      <c r="G162" s="4">
        <f t="shared" si="13"/>
        <v>5.0138507518106924E-2</v>
      </c>
      <c r="H162" s="4">
        <f t="shared" si="14"/>
        <v>5.0138505339869917E-2</v>
      </c>
      <c r="I162" s="4">
        <f t="shared" si="15"/>
        <v>0.21262995683882346</v>
      </c>
      <c r="J162" s="3">
        <v>2.6875107066782367E-2</v>
      </c>
    </row>
    <row r="163" spans="5:10" x14ac:dyDescent="0.55000000000000004">
      <c r="E163" s="1">
        <v>33</v>
      </c>
      <c r="F163">
        <v>1</v>
      </c>
      <c r="G163" s="4">
        <f t="shared" si="13"/>
        <v>4.9758670355246434E-2</v>
      </c>
      <c r="H163" s="4">
        <f t="shared" si="14"/>
        <v>4.9758668484634082E-2</v>
      </c>
      <c r="I163" s="4">
        <f t="shared" si="15"/>
        <v>0.21358866866326398</v>
      </c>
      <c r="J163" s="3">
        <v>2.7037685495708463E-2</v>
      </c>
    </row>
    <row r="164" spans="5:10" x14ac:dyDescent="0.55000000000000004">
      <c r="E164" s="1">
        <v>33.25</v>
      </c>
      <c r="F164">
        <v>1</v>
      </c>
      <c r="G164" s="4">
        <f t="shared" si="13"/>
        <v>4.9384545027275954E-2</v>
      </c>
      <c r="H164" s="4">
        <f t="shared" si="14"/>
        <v>4.938454342084353E-2</v>
      </c>
      <c r="I164" s="4">
        <f t="shared" si="15"/>
        <v>0.21453970282360357</v>
      </c>
      <c r="J164" s="3">
        <v>2.7198982067704554E-2</v>
      </c>
    </row>
    <row r="165" spans="5:10" x14ac:dyDescent="0.55000000000000004">
      <c r="E165" s="1">
        <v>33.5</v>
      </c>
      <c r="F165">
        <v>1</v>
      </c>
      <c r="G165" s="4">
        <f t="shared" si="13"/>
        <v>4.9016003657595689E-2</v>
      </c>
      <c r="H165" s="4">
        <f t="shared" si="14"/>
        <v>4.9016002278033995E-2</v>
      </c>
      <c r="I165" s="4">
        <f t="shared" si="15"/>
        <v>0.21548310394303849</v>
      </c>
      <c r="J165" s="3">
        <v>2.7359003519474394E-2</v>
      </c>
    </row>
    <row r="166" spans="5:10" x14ac:dyDescent="0.55000000000000004">
      <c r="E166" s="1">
        <v>33.75</v>
      </c>
      <c r="F166">
        <v>1</v>
      </c>
      <c r="G166" s="4">
        <f t="shared" si="13"/>
        <v>4.8652922158499978E-2</v>
      </c>
      <c r="H166" s="4">
        <f t="shared" si="14"/>
        <v>4.8652920973768866E-2</v>
      </c>
      <c r="I166" s="4">
        <f t="shared" si="15"/>
        <v>0.21641891640575706</v>
      </c>
      <c r="J166" s="3">
        <v>2.7517756575034351E-2</v>
      </c>
    </row>
    <row r="167" spans="5:10" x14ac:dyDescent="0.55000000000000004">
      <c r="E167" s="1">
        <v>34</v>
      </c>
      <c r="F167">
        <v>1</v>
      </c>
      <c r="G167" s="4">
        <f t="shared" si="13"/>
        <v>4.8295180091885652E-2</v>
      </c>
      <c r="H167" s="4">
        <f t="shared" si="14"/>
        <v>4.8295179074469896E-2</v>
      </c>
      <c r="I167" s="4">
        <f t="shared" si="15"/>
        <v>0.21734718435817701</v>
      </c>
      <c r="J167" s="3">
        <v>2.7675247944876767E-2</v>
      </c>
    </row>
    <row r="168" spans="5:10" x14ac:dyDescent="0.55000000000000004">
      <c r="E168" s="1">
        <v>34.25</v>
      </c>
      <c r="F168">
        <v>1</v>
      </c>
      <c r="G168" s="4">
        <f t="shared" si="13"/>
        <v>4.7942660536059847E-2</v>
      </c>
      <c r="H168" s="4">
        <f t="shared" si="14"/>
        <v>4.7942659662330099E-2</v>
      </c>
      <c r="I168" s="4">
        <f t="shared" si="15"/>
        <v>0.21826795171017765</v>
      </c>
      <c r="J168" s="3">
        <v>2.783148432517845E-2</v>
      </c>
    </row>
    <row r="169" spans="5:10" x14ac:dyDescent="0.55000000000000004">
      <c r="E169" s="1">
        <v>34.5</v>
      </c>
      <c r="F169">
        <v>1</v>
      </c>
      <c r="G169" s="4">
        <f t="shared" si="13"/>
        <v>4.7595249958338165E-2</v>
      </c>
      <c r="H169" s="4">
        <f t="shared" si="14"/>
        <v>4.7595249208002156E-2</v>
      </c>
      <c r="I169" s="4">
        <f t="shared" si="15"/>
        <v>0.21918126213632472</v>
      </c>
      <c r="J169" s="3">
        <v>2.7986472397051626E-2</v>
      </c>
    </row>
    <row r="170" spans="5:10" x14ac:dyDescent="0.55000000000000004">
      <c r="E170" s="1">
        <v>34.75</v>
      </c>
      <c r="F170">
        <v>1</v>
      </c>
      <c r="G170" s="4">
        <f t="shared" si="13"/>
        <v>4.7252838093141548E-2</v>
      </c>
      <c r="H170" s="4">
        <f t="shared" si="14"/>
        <v>4.7252837448772823E-2</v>
      </c>
      <c r="I170" s="4">
        <f t="shared" si="15"/>
        <v>0.22008715907709153</v>
      </c>
      <c r="J170" s="3">
        <v>2.8140218825835658E-2</v>
      </c>
    </row>
    <row r="171" spans="5:10" x14ac:dyDescent="0.55000000000000004">
      <c r="E171" s="1">
        <v>35</v>
      </c>
      <c r="F171">
        <v>1</v>
      </c>
      <c r="G171" s="4">
        <f t="shared" si="13"/>
        <v>4.691531782531707E-2</v>
      </c>
      <c r="H171" s="4">
        <f t="shared" si="14"/>
        <v>4.6915317271950245E-2</v>
      </c>
      <c r="I171" s="4">
        <f t="shared" si="15"/>
        <v>0.22098568574007071</v>
      </c>
      <c r="J171" s="3">
        <v>2.8292730260426641E-2</v>
      </c>
    </row>
    <row r="172" spans="5:10" x14ac:dyDescent="0.55000000000000004">
      <c r="E172" s="1">
        <v>35.25</v>
      </c>
      <c r="F172">
        <v>1</v>
      </c>
      <c r="G172" s="4">
        <f t="shared" si="13"/>
        <v>4.6582585078423333E-2</v>
      </c>
      <c r="H172" s="4">
        <f t="shared" si="14"/>
        <v>4.6582584603206537E-2</v>
      </c>
      <c r="I172" s="4">
        <f t="shared" si="15"/>
        <v>0.22187688510118198</v>
      </c>
      <c r="J172" s="3">
        <v>2.8444013332643681E-2</v>
      </c>
    </row>
    <row r="173" spans="5:10" x14ac:dyDescent="0.55000000000000004">
      <c r="E173" s="1">
        <v>35.5</v>
      </c>
      <c r="F173">
        <v>1</v>
      </c>
      <c r="G173" s="4">
        <f t="shared" si="13"/>
        <v>4.6254538707735902E-2</v>
      </c>
      <c r="H173" s="4">
        <f t="shared" si="14"/>
        <v>4.6254538299632282E-2</v>
      </c>
      <c r="I173" s="4">
        <f t="shared" si="15"/>
        <v>0.22276079990587289</v>
      </c>
      <c r="J173" s="3">
        <v>2.8594074656629619E-2</v>
      </c>
    </row>
    <row r="174" spans="5:10" x14ac:dyDescent="0.55000000000000004">
      <c r="E174" s="1">
        <v>35.75</v>
      </c>
      <c r="F174">
        <v>1</v>
      </c>
      <c r="G174" s="4">
        <f t="shared" si="13"/>
        <v>4.593108039774163E-2</v>
      </c>
      <c r="H174" s="4">
        <f t="shared" si="14"/>
        <v>4.5931080047273032E-2</v>
      </c>
      <c r="I174" s="4">
        <f t="shared" si="15"/>
        <v>0.22363747267031281</v>
      </c>
      <c r="J174" s="3">
        <v>2.8742920828284405E-2</v>
      </c>
    </row>
    <row r="175" spans="5:10" x14ac:dyDescent="0.55000000000000004">
      <c r="E175" s="1">
        <v>36</v>
      </c>
      <c r="F175">
        <v>1</v>
      </c>
      <c r="G175" s="4">
        <f t="shared" si="13"/>
        <v>4.5612114563903801E-2</v>
      </c>
      <c r="H175" s="4">
        <f t="shared" si="14"/>
        <v>4.5612114262930631E-2</v>
      </c>
      <c r="I175" s="4">
        <f t="shared" si="15"/>
        <v>0.22450694568258378</v>
      </c>
      <c r="J175" s="3">
        <v>2.8890558424730116E-2</v>
      </c>
    </row>
    <row r="176" spans="5:10" x14ac:dyDescent="0.55000000000000004">
      <c r="E176" s="1">
        <v>36.25</v>
      </c>
      <c r="F176">
        <v>1</v>
      </c>
      <c r="G176" s="4">
        <f t="shared" si="13"/>
        <v>4.5297548258491922E-2</v>
      </c>
      <c r="H176" s="4">
        <f t="shared" si="14"/>
        <v>4.5297548000024127E-2</v>
      </c>
      <c r="I176" s="4">
        <f t="shared" si="15"/>
        <v>0.22536926100385996</v>
      </c>
      <c r="J176" s="3">
        <v>2.9036994003804759E-2</v>
      </c>
    </row>
    <row r="177" spans="5:10" x14ac:dyDescent="0.55000000000000004">
      <c r="E177" s="1">
        <v>36.5</v>
      </c>
      <c r="F177">
        <v>1</v>
      </c>
      <c r="G177" s="4">
        <f t="shared" si="13"/>
        <v>4.4987291080281377E-2</v>
      </c>
      <c r="H177" s="4">
        <f t="shared" si="14"/>
        <v>4.4987290858316063E-2</v>
      </c>
      <c r="I177" s="4">
        <f t="shared" si="15"/>
        <v>0.22622446046958733</v>
      </c>
      <c r="J177" s="3">
        <v>2.9182234103585142E-2</v>
      </c>
    </row>
    <row r="178" spans="5:10" x14ac:dyDescent="0.55000000000000004">
      <c r="E178" s="1">
        <v>36.75</v>
      </c>
      <c r="F178">
        <v>1</v>
      </c>
      <c r="G178" s="4">
        <f t="shared" si="13"/>
        <v>4.4681255087938611E-2</v>
      </c>
      <c r="H178" s="4">
        <f t="shared" si="14"/>
        <v>4.4681254897320673E-2</v>
      </c>
      <c r="I178" s="4">
        <f t="shared" si="15"/>
        <v>0.22707258569065208</v>
      </c>
      <c r="J178" s="3">
        <v>2.9326285241935729E-2</v>
      </c>
    </row>
    <row r="179" spans="5:10" x14ac:dyDescent="0.55000000000000004">
      <c r="E179" s="1">
        <v>37</v>
      </c>
      <c r="F179">
        <v>1</v>
      </c>
      <c r="G179" s="4">
        <f t="shared" si="13"/>
        <v>4.4379354716917514E-2</v>
      </c>
      <c r="H179" s="4">
        <f t="shared" si="14"/>
        <v>4.4379354553219869E-2</v>
      </c>
      <c r="I179" s="4">
        <f t="shared" si="15"/>
        <v>0.22791367805454621</v>
      </c>
      <c r="J179" s="3">
        <v>2.9469153916083395E-2</v>
      </c>
    </row>
    <row r="180" spans="5:10" x14ac:dyDescent="0.55000000000000004">
      <c r="E180" s="1">
        <v>37.25</v>
      </c>
      <c r="F180">
        <v>1</v>
      </c>
      <c r="G180" s="4">
        <f t="shared" si="13"/>
        <v>4.4081506699702261E-2</v>
      </c>
      <c r="H180" s="4">
        <f t="shared" si="14"/>
        <v>4.4081506559123046E-2</v>
      </c>
      <c r="I180" s="4">
        <f t="shared" si="15"/>
        <v>0.22874777872652635</v>
      </c>
      <c r="J180" s="3">
        <v>2.9610846602216252E-2</v>
      </c>
    </row>
    <row r="181" spans="5:10" x14ac:dyDescent="0.55000000000000004">
      <c r="E181" s="1">
        <v>37.5</v>
      </c>
      <c r="F181">
        <v>1</v>
      </c>
      <c r="G181" s="4">
        <f t="shared" si="13"/>
        <v>4.3787629989240254E-2</v>
      </c>
      <c r="H181" s="4">
        <f t="shared" si="14"/>
        <v>4.3787629868514547E-2</v>
      </c>
      <c r="I181" s="4">
        <f t="shared" si="15"/>
        <v>0.22957492865076595</v>
      </c>
      <c r="J181" s="3">
        <v>2.9751369755105422E-2</v>
      </c>
    </row>
    <row r="182" spans="5:10" x14ac:dyDescent="0.55000000000000004">
      <c r="E182" s="1">
        <v>37.75</v>
      </c>
      <c r="F182">
        <v>1</v>
      </c>
      <c r="G182" s="4">
        <f t="shared" si="13"/>
        <v>4.3497645685417363E-2</v>
      </c>
      <c r="H182" s="4">
        <f t="shared" si="14"/>
        <v>4.3497645581741316E-2</v>
      </c>
      <c r="I182" s="4">
        <f t="shared" si="15"/>
        <v>0.23039516855150238</v>
      </c>
      <c r="J182" s="3">
        <v>2.9890729807748824E-2</v>
      </c>
    </row>
    <row r="183" spans="5:10" x14ac:dyDescent="0.55000000000000004">
      <c r="E183" s="1">
        <v>38</v>
      </c>
      <c r="F183">
        <v>1</v>
      </c>
      <c r="G183" s="4">
        <f t="shared" si="13"/>
        <v>4.3211476964435475E-2</v>
      </c>
      <c r="H183" s="4">
        <f t="shared" si="14"/>
        <v>4.3211476875401222E-2</v>
      </c>
      <c r="I183" s="4">
        <f t="shared" si="15"/>
        <v>0.2312085389341787</v>
      </c>
      <c r="J183" s="3">
        <v>3.0028933171035943E-2</v>
      </c>
    </row>
    <row r="184" spans="5:10" x14ac:dyDescent="0.55000000000000004">
      <c r="E184" s="1">
        <v>38.25</v>
      </c>
      <c r="F184">
        <v>1</v>
      </c>
      <c r="G184" s="4">
        <f t="shared" si="13"/>
        <v>4.2929049010959348E-2</v>
      </c>
      <c r="H184" s="4">
        <f t="shared" si="14"/>
        <v>4.2929048934499087E-2</v>
      </c>
      <c r="I184" s="4">
        <f t="shared" si="15"/>
        <v>0.23201508008657767</v>
      </c>
      <c r="J184" s="3">
        <v>3.016598623343212E-2</v>
      </c>
    </row>
    <row r="185" spans="5:10" x14ac:dyDescent="0.55000000000000004">
      <c r="E185" s="1">
        <v>38.5</v>
      </c>
      <c r="F185">
        <v>1</v>
      </c>
      <c r="G185" s="4">
        <f t="shared" si="13"/>
        <v>4.2650288952907171E-2</v>
      </c>
      <c r="H185" s="4">
        <f t="shared" si="14"/>
        <v>4.2650288887245119E-2</v>
      </c>
      <c r="I185" s="4">
        <f t="shared" si="15"/>
        <v>0.23281483207995224</v>
      </c>
      <c r="J185" s="3">
        <v>3.0301895360682167E-2</v>
      </c>
    </row>
    <row r="186" spans="5:10" x14ac:dyDescent="0.55000000000000004">
      <c r="E186" s="1">
        <v>38.75</v>
      </c>
      <c r="F186">
        <v>1</v>
      </c>
      <c r="G186" s="4">
        <f t="shared" si="13"/>
        <v>4.2375125798765241E-2</v>
      </c>
      <c r="H186" s="4">
        <f t="shared" si="14"/>
        <v>4.237512574237641E-2</v>
      </c>
      <c r="I186" s="4">
        <f t="shared" si="15"/>
        <v>0.23360783477014863</v>
      </c>
      <c r="J186" s="3">
        <v>3.0436666895531764E-2</v>
      </c>
    </row>
    <row r="187" spans="5:10" x14ac:dyDescent="0.55000000000000004">
      <c r="E187" s="1">
        <v>39</v>
      </c>
      <c r="F187">
        <v>1</v>
      </c>
      <c r="G187" s="4">
        <f t="shared" si="13"/>
        <v>4.2103490377313577E-2</v>
      </c>
      <c r="H187" s="4">
        <f t="shared" si="14"/>
        <v>4.2103490328888341E-2</v>
      </c>
      <c r="I187" s="4">
        <f t="shared" si="15"/>
        <v>0.23439412779872459</v>
      </c>
      <c r="J187" s="3">
        <v>3.0570307157466104E-2</v>
      </c>
    </row>
    <row r="188" spans="5:10" x14ac:dyDescent="0.55000000000000004">
      <c r="E188" s="1">
        <v>39.25</v>
      </c>
      <c r="F188">
        <v>1</v>
      </c>
      <c r="G188" s="4">
        <f t="shared" si="13"/>
        <v>4.1835315279655012E-2</v>
      </c>
      <c r="H188" s="4">
        <f t="shared" si="14"/>
        <v>4.1835315238068702E-2</v>
      </c>
      <c r="I188" s="4">
        <f t="shared" si="15"/>
        <v>0.2351737505940617</v>
      </c>
      <c r="J188" s="3">
        <v>3.0702822442465E-2</v>
      </c>
    </row>
    <row r="189" spans="5:10" x14ac:dyDescent="0.55000000000000004">
      <c r="E189" s="1">
        <v>39.5</v>
      </c>
      <c r="F189">
        <v>1</v>
      </c>
      <c r="G189" s="4">
        <f t="shared" si="13"/>
        <v>4.157053480344565E-2</v>
      </c>
      <c r="H189" s="4">
        <f t="shared" si="14"/>
        <v>4.1570534767732426E-2</v>
      </c>
      <c r="I189" s="4">
        <f t="shared" si="15"/>
        <v>0.23594674237247176</v>
      </c>
      <c r="J189" s="3">
        <v>3.0834219022773453E-2</v>
      </c>
    </row>
    <row r="190" spans="5:10" x14ac:dyDescent="0.55000000000000004">
      <c r="E190" s="1">
        <v>39.75</v>
      </c>
      <c r="F190">
        <v>1</v>
      </c>
      <c r="G190" s="4">
        <f t="shared" si="13"/>
        <v>4.1309084899229812E-2</v>
      </c>
      <c r="H190" s="4">
        <f t="shared" si="14"/>
        <v>4.1309084868560234E-2</v>
      </c>
      <c r="I190" s="4">
        <f t="shared" si="15"/>
        <v>0.23671314213929789</v>
      </c>
      <c r="J190" s="3">
        <v>3.0964503146687236E-2</v>
      </c>
    </row>
    <row r="191" spans="5:10" x14ac:dyDescent="0.55000000000000004">
      <c r="E191" s="1">
        <v>40</v>
      </c>
      <c r="F191">
        <v>1</v>
      </c>
      <c r="G191" s="4">
        <f t="shared" si="13"/>
        <v>4.1050903118787431E-2</v>
      </c>
      <c r="H191" s="4">
        <f t="shared" si="14"/>
        <v>4.1050903092449208E-2</v>
      </c>
      <c r="I191" s="4">
        <f t="shared" si="15"/>
        <v>0.2374729886900096</v>
      </c>
      <c r="J191" s="3">
        <v>3.1093681038352583E-2</v>
      </c>
    </row>
    <row r="192" spans="5:10" x14ac:dyDescent="0.55000000000000004">
      <c r="E192" s="1">
        <v>40.25</v>
      </c>
      <c r="F192">
        <v>1</v>
      </c>
      <c r="G192" s="4">
        <f t="shared" ref="G192:G223" si="16">IF(lambda=0,1,(1-EXP(-lambda*$E192))/(lambda*$E192))</f>
        <v>4.0795928565406335E-2</v>
      </c>
      <c r="H192" s="4">
        <f t="shared" ref="H192:H223" si="17">G192-EXP(-lambda*$E192)</f>
        <v>4.0795928542787768E-2</v>
      </c>
      <c r="I192" s="4">
        <f t="shared" ref="I192:I223" si="18">IF(gamma=0,0,(1-EXP(-gamma*$E192))/(gamma*$E192)-EXP(-gamma*$E192))</f>
        <v>0.23822632061129284</v>
      </c>
      <c r="J192" s="3">
        <v>3.1221758897579527E-2</v>
      </c>
    </row>
    <row r="193" spans="5:10" x14ac:dyDescent="0.55000000000000004">
      <c r="E193" s="1">
        <v>40.5</v>
      </c>
      <c r="F193">
        <v>1</v>
      </c>
      <c r="G193" s="4">
        <f t="shared" si="16"/>
        <v>4.05441018459963E-2</v>
      </c>
      <c r="H193" s="4">
        <f t="shared" si="17"/>
        <v>4.0544101826572074E-2</v>
      </c>
      <c r="I193" s="4">
        <f t="shared" si="18"/>
        <v>0.23897317628213466</v>
      </c>
      <c r="J193" s="3">
        <v>3.1348742899668137E-2</v>
      </c>
    </row>
    <row r="194" spans="5:10" x14ac:dyDescent="0.55000000000000004">
      <c r="E194" s="1">
        <v>40.75</v>
      </c>
      <c r="F194">
        <v>1</v>
      </c>
      <c r="G194" s="4">
        <f t="shared" si="16"/>
        <v>4.0295365024965758E-2</v>
      </c>
      <c r="H194" s="4">
        <f t="shared" si="17"/>
        <v>4.0295365008284748E-2</v>
      </c>
      <c r="I194" s="4">
        <f t="shared" si="18"/>
        <v>0.23971359387490015</v>
      </c>
      <c r="J194" s="3">
        <v>3.1474639195246831E-2</v>
      </c>
    </row>
    <row r="195" spans="5:10" x14ac:dyDescent="0.55000000000000004">
      <c r="E195" s="1">
        <v>41</v>
      </c>
      <c r="F195">
        <v>1</v>
      </c>
      <c r="G195" s="4">
        <f t="shared" si="16"/>
        <v>4.0049661579785921E-2</v>
      </c>
      <c r="H195" s="4">
        <f t="shared" si="17"/>
        <v>4.0049661565460706E-2</v>
      </c>
      <c r="I195" s="4">
        <f t="shared" si="18"/>
        <v>0.24044761135640808</v>
      </c>
      <c r="J195" s="3">
        <v>3.159945391012306E-2</v>
      </c>
    </row>
    <row r="196" spans="5:10" x14ac:dyDescent="0.55000000000000004">
      <c r="E196" s="1">
        <v>41.25</v>
      </c>
      <c r="F196">
        <v>1</v>
      </c>
      <c r="G196" s="4">
        <f t="shared" si="16"/>
        <v>3.9806936358170786E-2</v>
      </c>
      <c r="H196" s="4">
        <f t="shared" si="17"/>
        <v>3.9806936345868675E-2</v>
      </c>
      <c r="I196" s="4">
        <f t="shared" si="18"/>
        <v>0.24117526648899607</v>
      </c>
      <c r="J196" s="3">
        <v>3.1723193145144393E-2</v>
      </c>
    </row>
    <row r="197" spans="5:10" x14ac:dyDescent="0.55000000000000004">
      <c r="E197" s="1">
        <v>41.5</v>
      </c>
      <c r="F197">
        <v>1</v>
      </c>
      <c r="G197" s="4">
        <f t="shared" si="16"/>
        <v>3.9567135536804771E-2</v>
      </c>
      <c r="H197" s="4">
        <f t="shared" si="17"/>
        <v>3.9567135526240041E-2</v>
      </c>
      <c r="I197" s="4">
        <f t="shared" si="18"/>
        <v>0.24189659683158471</v>
      </c>
      <c r="J197" s="3">
        <v>3.184586297607115E-2</v>
      </c>
    </row>
    <row r="198" spans="5:10" x14ac:dyDescent="0.55000000000000004">
      <c r="E198" s="1">
        <v>41.75</v>
      </c>
      <c r="F198">
        <v>1</v>
      </c>
      <c r="G198" s="4">
        <f t="shared" si="16"/>
        <v>3.9330206581553236E-2</v>
      </c>
      <c r="H198" s="4">
        <f t="shared" si="17"/>
        <v>3.9330206572480528E-2</v>
      </c>
      <c r="I198" s="4">
        <f t="shared" si="18"/>
        <v>0.24261163974073335</v>
      </c>
      <c r="J198" s="3">
        <v>3.1967469453458686E-2</v>
      </c>
    </row>
    <row r="199" spans="5:10" x14ac:dyDescent="0.55000000000000004">
      <c r="E199" s="1">
        <v>42</v>
      </c>
      <c r="F199">
        <v>1</v>
      </c>
      <c r="G199" s="4">
        <f t="shared" si="16"/>
        <v>3.9096098209094085E-2</v>
      </c>
      <c r="H199" s="4">
        <f t="shared" si="17"/>
        <v>3.9096098201302679E-2</v>
      </c>
      <c r="I199" s="4">
        <f t="shared" si="18"/>
        <v>0.24332043237169204</v>
      </c>
      <c r="J199" s="3">
        <v>3.2088018602549777E-2</v>
      </c>
    </row>
    <row r="200" spans="5:10" x14ac:dyDescent="0.55000000000000004">
      <c r="E200" s="1">
        <v>42.25</v>
      </c>
      <c r="F200">
        <v>1</v>
      </c>
      <c r="G200" s="4">
        <f t="shared" si="16"/>
        <v>3.8864760349911445E-2</v>
      </c>
      <c r="H200" s="4">
        <f t="shared" si="17"/>
        <v>3.8864760343220395E-2</v>
      </c>
      <c r="I200" s="4">
        <f t="shared" si="18"/>
        <v>0.2440230116794474</v>
      </c>
      <c r="J200" s="3">
        <v>3.2207516423176222E-2</v>
      </c>
    </row>
    <row r="201" spans="5:10" x14ac:dyDescent="0.55000000000000004">
      <c r="E201" s="1">
        <v>42.5</v>
      </c>
      <c r="F201">
        <v>1</v>
      </c>
      <c r="G201" s="4">
        <f t="shared" si="16"/>
        <v>3.8636144112595534E-2</v>
      </c>
      <c r="H201" s="4">
        <f t="shared" si="17"/>
        <v>3.8636144106849436E-2</v>
      </c>
      <c r="I201" s="4">
        <f t="shared" si="18"/>
        <v>0.24471941441976286</v>
      </c>
      <c r="J201" s="3">
        <v>3.2325968889669252E-2</v>
      </c>
    </row>
    <row r="202" spans="5:10" x14ac:dyDescent="0.55000000000000004">
      <c r="E202" s="1">
        <v>42.75</v>
      </c>
      <c r="F202">
        <v>1</v>
      </c>
      <c r="G202" s="4">
        <f t="shared" si="16"/>
        <v>3.8410201749395155E-2</v>
      </c>
      <c r="H202" s="4">
        <f t="shared" si="17"/>
        <v>3.8410201744460561E-2</v>
      </c>
      <c r="I202" s="4">
        <f t="shared" si="18"/>
        <v>0.24540967715021528</v>
      </c>
      <c r="J202" s="3">
        <v>3.2443381950778866E-2</v>
      </c>
    </row>
    <row r="203" spans="5:10" x14ac:dyDescent="0.55000000000000004">
      <c r="E203" s="1">
        <v>43</v>
      </c>
      <c r="F203">
        <v>1</v>
      </c>
      <c r="G203" s="4">
        <f t="shared" si="16"/>
        <v>3.8186886622971795E-2</v>
      </c>
      <c r="H203" s="4">
        <f t="shared" si="17"/>
        <v>3.8186886618734095E-2</v>
      </c>
      <c r="I203" s="4">
        <f t="shared" si="18"/>
        <v>0.24609383623122333</v>
      </c>
      <c r="J203" s="3">
        <v>3.2559761529600717E-2</v>
      </c>
    </row>
    <row r="204" spans="5:10" x14ac:dyDescent="0.55000000000000004">
      <c r="E204" s="1">
        <v>43.25</v>
      </c>
      <c r="F204">
        <v>1</v>
      </c>
      <c r="G204" s="4">
        <f t="shared" si="16"/>
        <v>3.7966153174306815E-2</v>
      </c>
      <c r="H204" s="4">
        <f t="shared" si="17"/>
        <v>3.7966153170667587E-2</v>
      </c>
      <c r="I204" s="4">
        <f t="shared" si="18"/>
        <v>0.24677192782707447</v>
      </c>
      <c r="J204" s="3">
        <v>3.2675113523511434E-2</v>
      </c>
    </row>
    <row r="205" spans="5:10" x14ac:dyDescent="0.55000000000000004">
      <c r="E205" s="1">
        <v>43.5</v>
      </c>
      <c r="F205">
        <v>1</v>
      </c>
      <c r="G205" s="4">
        <f t="shared" si="16"/>
        <v>3.7747956891715256E-2</v>
      </c>
      <c r="H205" s="4">
        <f t="shared" si="17"/>
        <v>3.7747956888589985E-2</v>
      </c>
      <c r="I205" s="4">
        <f t="shared" si="18"/>
        <v>0.24744398790694283</v>
      </c>
      <c r="J205" s="3">
        <v>3.2789443804110835E-2</v>
      </c>
    </row>
    <row r="206" spans="5:10" x14ac:dyDescent="0.55000000000000004">
      <c r="E206" s="1">
        <v>43.75</v>
      </c>
      <c r="F206">
        <v>1</v>
      </c>
      <c r="G206" s="4">
        <f t="shared" si="16"/>
        <v>3.7532254280922023E-2</v>
      </c>
      <c r="H206" s="4">
        <f t="shared" si="17"/>
        <v>3.7532254278238121E-2</v>
      </c>
      <c r="I206" s="4">
        <f t="shared" si="18"/>
        <v>0.24811005224590388</v>
      </c>
      <c r="J206" s="3">
        <v>3.2902758217171424E-2</v>
      </c>
    </row>
    <row r="207" spans="5:10" x14ac:dyDescent="0.55000000000000004">
      <c r="E207" s="1">
        <v>44</v>
      </c>
      <c r="F207">
        <v>1</v>
      </c>
      <c r="G207" s="4">
        <f t="shared" si="16"/>
        <v>3.7319002836158202E-2</v>
      </c>
      <c r="H207" s="4">
        <f t="shared" si="17"/>
        <v>3.7319002833853337E-2</v>
      </c>
      <c r="I207" s="4">
        <f t="shared" si="18"/>
        <v>0.24877015642594508</v>
      </c>
      <c r="J207" s="3">
        <v>3.3015062582594984E-2</v>
      </c>
    </row>
    <row r="208" spans="5:10" x14ac:dyDescent="0.55000000000000004">
      <c r="E208" s="1">
        <v>44.25</v>
      </c>
      <c r="F208">
        <v>1</v>
      </c>
      <c r="G208" s="4">
        <f t="shared" si="16"/>
        <v>3.7108161012237184E-2</v>
      </c>
      <c r="H208" s="4">
        <f t="shared" si="17"/>
        <v>3.710816101025783E-2</v>
      </c>
      <c r="I208" s="4">
        <f t="shared" si="18"/>
        <v>0.24942433583696799</v>
      </c>
      <c r="J208" s="3">
        <v>3.3126362694375119E-2</v>
      </c>
    </row>
    <row r="209" spans="5:10" x14ac:dyDescent="0.55000000000000004">
      <c r="E209" s="1">
        <v>44.5</v>
      </c>
      <c r="F209">
        <v>1</v>
      </c>
      <c r="G209" s="4">
        <f t="shared" si="16"/>
        <v>3.6899688197572007E-2</v>
      </c>
      <c r="H209" s="4">
        <f t="shared" si="17"/>
        <v>3.6899688195872186E-2</v>
      </c>
      <c r="I209" s="4">
        <f t="shared" si="18"/>
        <v>0.25007262567778882</v>
      </c>
      <c r="J209" s="3">
        <v>3.3236664320566503E-2</v>
      </c>
    </row>
    <row r="210" spans="5:10" x14ac:dyDescent="0.55000000000000004">
      <c r="E210" s="1">
        <v>44.75</v>
      </c>
      <c r="F210">
        <v>1</v>
      </c>
      <c r="G210" s="4">
        <f t="shared" si="16"/>
        <v>3.6693544688097178E-2</v>
      </c>
      <c r="H210" s="4">
        <f t="shared" si="17"/>
        <v>3.6693544686637422E-2</v>
      </c>
      <c r="I210" s="4">
        <f t="shared" si="18"/>
        <v>0.25071506095713125</v>
      </c>
      <c r="J210" s="3">
        <v>3.3345973203259681E-2</v>
      </c>
    </row>
    <row r="211" spans="5:10" x14ac:dyDescent="0.55000000000000004">
      <c r="E211" s="1">
        <v>45</v>
      </c>
      <c r="F211">
        <v>1</v>
      </c>
      <c r="G211" s="4">
        <f t="shared" si="16"/>
        <v>3.648969166205971E-2</v>
      </c>
      <c r="H211" s="4">
        <f t="shared" si="17"/>
        <v>3.6489691660806109E-2</v>
      </c>
      <c r="I211" s="4">
        <f t="shared" si="18"/>
        <v>0.25135167649461626</v>
      </c>
      <c r="J211" s="3">
        <v>3.3454295058561928E-2</v>
      </c>
    </row>
    <row r="212" spans="5:10" x14ac:dyDescent="0.55000000000000004">
      <c r="E212" s="1">
        <v>45.25</v>
      </c>
      <c r="F212">
        <v>1</v>
      </c>
      <c r="G212" s="4">
        <f t="shared" si="16"/>
        <v>3.6288091155645914E-2</v>
      </c>
      <c r="H212" s="4">
        <f t="shared" si="17"/>
        <v>3.6288091154569352E-2</v>
      </c>
      <c r="I212" s="4">
        <f t="shared" si="18"/>
        <v>0.25198250692174484</v>
      </c>
      <c r="J212" s="3">
        <v>3.3561635576583121E-2</v>
      </c>
    </row>
    <row r="213" spans="5:10" x14ac:dyDescent="0.55000000000000004">
      <c r="E213" s="1">
        <v>45.5</v>
      </c>
      <c r="F213">
        <v>1</v>
      </c>
      <c r="G213" s="4">
        <f t="shared" si="16"/>
        <v>3.6088706039411597E-2</v>
      </c>
      <c r="H213" s="4">
        <f t="shared" si="17"/>
        <v>3.6088706038487073E-2</v>
      </c>
      <c r="I213" s="4">
        <f t="shared" si="18"/>
        <v>0.25260758668287714</v>
      </c>
      <c r="J213" s="3">
        <v>3.3668000421427077E-2</v>
      </c>
    </row>
    <row r="214" spans="5:10" x14ac:dyDescent="0.55000000000000004">
      <c r="E214" s="1">
        <v>45.75</v>
      </c>
      <c r="F214">
        <v>1</v>
      </c>
      <c r="G214" s="4">
        <f t="shared" si="16"/>
        <v>3.589149999548507E-2</v>
      </c>
      <c r="H214" s="4">
        <f t="shared" si="17"/>
        <v>3.5891499994691115E-2</v>
      </c>
      <c r="I214" s="4">
        <f t="shared" si="18"/>
        <v>0.25322695003620654</v>
      </c>
      <c r="J214" s="3">
        <v>3.3773395231187858E-2</v>
      </c>
    </row>
    <row r="215" spans="5:10" x14ac:dyDescent="0.55000000000000004">
      <c r="E215" s="1">
        <v>46</v>
      </c>
      <c r="F215">
        <v>1</v>
      </c>
      <c r="G215" s="4">
        <f t="shared" si="16"/>
        <v>3.5696437495513607E-2</v>
      </c>
      <c r="H215" s="4">
        <f t="shared" si="17"/>
        <v>3.5696437494831777E-2</v>
      </c>
      <c r="I215" s="4">
        <f t="shared" si="18"/>
        <v>0.25384063105472798</v>
      </c>
      <c r="J215" s="3">
        <v>3.3877825617950635E-2</v>
      </c>
    </row>
    <row r="216" spans="5:10" x14ac:dyDescent="0.55000000000000004">
      <c r="E216" s="1">
        <v>46.25</v>
      </c>
      <c r="F216">
        <v>1</v>
      </c>
      <c r="G216" s="4">
        <f t="shared" si="16"/>
        <v>3.5503483779325065E-2</v>
      </c>
      <c r="H216" s="4">
        <f t="shared" si="17"/>
        <v>3.5503483778739527E-2</v>
      </c>
      <c r="I216" s="4">
        <f t="shared" si="18"/>
        <v>0.25444866362720153</v>
      </c>
      <c r="J216" s="3">
        <v>3.3981297167797186E-2</v>
      </c>
    </row>
    <row r="217" spans="5:10" x14ac:dyDescent="0.55000000000000004">
      <c r="E217" s="1">
        <v>46.5</v>
      </c>
      <c r="F217">
        <v>1</v>
      </c>
      <c r="G217" s="4">
        <f t="shared" si="16"/>
        <v>3.5312604834277846E-2</v>
      </c>
      <c r="H217" s="4">
        <f t="shared" si="17"/>
        <v>3.5312604833775005E-2</v>
      </c>
      <c r="I217" s="4">
        <f t="shared" si="18"/>
        <v>0.25505108145911232</v>
      </c>
      <c r="J217" s="3">
        <v>3.4083815440815915E-2</v>
      </c>
    </row>
    <row r="218" spans="5:10" x14ac:dyDescent="0.55000000000000004">
      <c r="E218" s="1">
        <v>46.75</v>
      </c>
      <c r="F218">
        <v>1</v>
      </c>
      <c r="G218" s="4">
        <f t="shared" si="16"/>
        <v>3.5123767375273507E-2</v>
      </c>
      <c r="H218" s="4">
        <f t="shared" si="17"/>
        <v>3.5123767374841679E-2</v>
      </c>
      <c r="I218" s="4">
        <f t="shared" si="18"/>
        <v>0.25564791807362336</v>
      </c>
      <c r="J218" s="3">
        <v>3.4185385971115638E-2</v>
      </c>
    </row>
    <row r="219" spans="5:10" x14ac:dyDescent="0.55000000000000004">
      <c r="E219" s="1">
        <v>47</v>
      </c>
      <c r="F219">
        <v>1</v>
      </c>
      <c r="G219" s="4">
        <f t="shared" si="16"/>
        <v>3.4936938825407167E-2</v>
      </c>
      <c r="H219" s="4">
        <f t="shared" si="17"/>
        <v>3.4936938825036325E-2</v>
      </c>
      <c r="I219" s="4">
        <f t="shared" si="18"/>
        <v>0.25623920681252504</v>
      </c>
      <c r="J219" s="3">
        <v>3.4286014266843606E-2</v>
      </c>
    </row>
    <row r="220" spans="5:10" x14ac:dyDescent="0.55000000000000004">
      <c r="E220" s="1">
        <v>47.25</v>
      </c>
      <c r="F220">
        <v>1</v>
      </c>
      <c r="G220" s="4">
        <f t="shared" si="16"/>
        <v>3.4752087297232219E-2</v>
      </c>
      <c r="H220" s="4">
        <f t="shared" si="17"/>
        <v>3.4752087296913751E-2</v>
      </c>
      <c r="I220" s="4">
        <f t="shared" si="18"/>
        <v>0.25682498083717964</v>
      </c>
      <c r="J220" s="3">
        <v>3.4385705810207293E-2</v>
      </c>
    </row>
    <row r="221" spans="5:10" x14ac:dyDescent="0.55000000000000004">
      <c r="E221" s="1">
        <v>47.5</v>
      </c>
      <c r="F221">
        <v>1</v>
      </c>
      <c r="G221" s="4">
        <f t="shared" si="16"/>
        <v>3.4569181574616768E-2</v>
      </c>
      <c r="H221" s="4">
        <f t="shared" si="17"/>
        <v>3.4569181574343272E-2</v>
      </c>
      <c r="I221" s="4">
        <f t="shared" si="18"/>
        <v>0.25740527312946093</v>
      </c>
      <c r="J221" s="3">
        <v>3.4484466057499844E-2</v>
      </c>
    </row>
    <row r="222" spans="5:10" x14ac:dyDescent="0.55000000000000004">
      <c r="E222" s="1">
        <v>47.75</v>
      </c>
      <c r="F222">
        <v>1</v>
      </c>
      <c r="G222" s="4">
        <f t="shared" si="16"/>
        <v>3.4388191095169836E-2</v>
      </c>
      <c r="H222" s="4">
        <f t="shared" si="17"/>
        <v>3.4388191094934968E-2</v>
      </c>
      <c r="I222" s="4">
        <f t="shared" si="18"/>
        <v>0.25798011649268809</v>
      </c>
      <c r="J222" s="3">
        <v>3.4582300439128751E-2</v>
      </c>
    </row>
    <row r="223" spans="5:10" x14ac:dyDescent="0.55000000000000004">
      <c r="E223" s="1">
        <v>48</v>
      </c>
      <c r="F223">
        <v>1</v>
      </c>
      <c r="G223" s="4">
        <f t="shared" si="16"/>
        <v>3.4209085933216962E-2</v>
      </c>
      <c r="H223" s="4">
        <f t="shared" si="17"/>
        <v>3.4209085933015262E-2</v>
      </c>
      <c r="I223" s="4">
        <f t="shared" si="18"/>
        <v>0.25854954355255605</v>
      </c>
      <c r="J223" s="3">
        <v>3.467921435964811E-2</v>
      </c>
    </row>
    <row r="224" spans="5:10" x14ac:dyDescent="0.55000000000000004">
      <c r="E224" s="1">
        <v>48.25</v>
      </c>
      <c r="F224">
        <v>1</v>
      </c>
      <c r="G224" s="4">
        <f t="shared" ref="G224:G231" si="19">IF(lambda=0,1,(1-EXP(-lambda*$E224))/(lambda*$E224))</f>
        <v>3.4031836783304896E-2</v>
      </c>
      <c r="H224" s="4">
        <f t="shared" ref="H224:H231" si="20">G224-EXP(-lambda*$E224)</f>
        <v>3.403183678313168E-2</v>
      </c>
      <c r="I224" s="4">
        <f t="shared" ref="I224:I231" si="21">IF(gamma=0,0,(1-EXP(-gamma*$E224))/(gamma*$E224)-EXP(-gamma*$E224))</f>
        <v>0.25911358675806068</v>
      </c>
      <c r="J224" s="3">
        <v>3.4775213197793975E-2</v>
      </c>
    </row>
    <row r="225" spans="5:10" x14ac:dyDescent="0.55000000000000004">
      <c r="E225" s="1">
        <v>48.5</v>
      </c>
      <c r="F225">
        <v>1</v>
      </c>
      <c r="G225" s="4">
        <f t="shared" si="19"/>
        <v>3.3856414944216519E-2</v>
      </c>
      <c r="H225" s="4">
        <f t="shared" si="20"/>
        <v>3.385641494406777E-2</v>
      </c>
      <c r="I225" s="4">
        <f t="shared" si="21"/>
        <v>0.25967227838241896</v>
      </c>
      <c r="J225" s="3">
        <v>3.4870302306522646E-2</v>
      </c>
    </row>
    <row r="226" spans="5:10" x14ac:dyDescent="0.55000000000000004">
      <c r="E226" s="1">
        <v>48.75</v>
      </c>
      <c r="F226">
        <v>1</v>
      </c>
      <c r="G226" s="4">
        <f t="shared" si="19"/>
        <v>3.3682792303477656E-2</v>
      </c>
      <c r="H226" s="4">
        <f t="shared" si="20"/>
        <v>3.3682792303349911E-2</v>
      </c>
      <c r="I226" s="4">
        <f t="shared" si="21"/>
        <v>0.26022565052398455</v>
      </c>
      <c r="J226" s="3">
        <v>3.4964487013051972E-2</v>
      </c>
    </row>
    <row r="227" spans="5:10" x14ac:dyDescent="0.55000000000000004">
      <c r="E227" s="1">
        <v>49</v>
      </c>
      <c r="F227">
        <v>1</v>
      </c>
      <c r="G227" s="4">
        <f t="shared" si="19"/>
        <v>3.3510941322338068E-2</v>
      </c>
      <c r="H227" s="4">
        <f t="shared" si="20"/>
        <v>3.3510941322228364E-2</v>
      </c>
      <c r="I227" s="4">
        <f t="shared" si="21"/>
        <v>0.26077373510715979</v>
      </c>
      <c r="J227" s="3">
        <v>3.5057772618905456E-2</v>
      </c>
    </row>
    <row r="228" spans="5:10" x14ac:dyDescent="0.55000000000000004">
      <c r="E228" s="1">
        <v>49.25</v>
      </c>
      <c r="F228">
        <v>1</v>
      </c>
      <c r="G228" s="4">
        <f t="shared" si="19"/>
        <v>3.3340835021209964E-2</v>
      </c>
      <c r="H228" s="4">
        <f t="shared" si="20"/>
        <v>3.3340835021115754E-2</v>
      </c>
      <c r="I228" s="4">
        <f t="shared" si="21"/>
        <v>0.26131656388330032</v>
      </c>
      <c r="J228" s="3">
        <v>3.5150164399958696E-2</v>
      </c>
    </row>
    <row r="229" spans="5:10" x14ac:dyDescent="0.55000000000000004">
      <c r="E229" s="1">
        <v>49.5</v>
      </c>
      <c r="F229">
        <v>1</v>
      </c>
      <c r="G229" s="4">
        <f t="shared" si="19"/>
        <v>3.3172446965547733E-2</v>
      </c>
      <c r="H229" s="4">
        <f t="shared" si="20"/>
        <v>3.3172446965466826E-2</v>
      </c>
      <c r="I229" s="4">
        <f t="shared" si="21"/>
        <v>0.26185416843161835</v>
      </c>
      <c r="J229" s="3">
        <v>3.524166760648878E-2</v>
      </c>
    </row>
    <row r="230" spans="5:10" x14ac:dyDescent="0.55000000000000004">
      <c r="E230" s="1">
        <v>49.75</v>
      </c>
      <c r="F230">
        <v>1</v>
      </c>
      <c r="G230" s="4">
        <f t="shared" si="19"/>
        <v>3.3005751252153395E-2</v>
      </c>
      <c r="H230" s="4">
        <f t="shared" si="20"/>
        <v>3.3005751252083916E-2</v>
      </c>
      <c r="I230" s="4">
        <f t="shared" si="21"/>
        <v>0.26238658016007893</v>
      </c>
      <c r="J230" s="3">
        <v>3.5332287463225809E-2</v>
      </c>
    </row>
    <row r="231" spans="5:10" x14ac:dyDescent="0.55000000000000004">
      <c r="E231" s="1">
        <v>50</v>
      </c>
      <c r="F231">
        <v>1</v>
      </c>
      <c r="G231" s="4">
        <f t="shared" si="19"/>
        <v>3.2840722495892954E-2</v>
      </c>
      <c r="H231" s="4">
        <f t="shared" si="20"/>
        <v>3.2840722495833287E-2</v>
      </c>
      <c r="I231" s="4">
        <f t="shared" si="21"/>
        <v>0.26291383030629245</v>
      </c>
      <c r="J231" s="3">
        <v>3.5422029169406732E-2</v>
      </c>
    </row>
  </sheetData>
  <mergeCells count="1">
    <mergeCell ref="L37:M37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Nelson-Siegel Curve</vt:lpstr>
      <vt:lpstr>Nelson-Siegel Curve OLS Fit</vt:lpstr>
      <vt:lpstr>Svensson Curve Yield</vt:lpstr>
      <vt:lpstr>alpha</vt:lpstr>
      <vt:lpstr>'Nelson-Siegel Curve OLS Fit'!Curvature</vt:lpstr>
      <vt:lpstr>'Svensson Curve Yield'!Curvature</vt:lpstr>
      <vt:lpstr>Curvature</vt:lpstr>
      <vt:lpstr>gamma</vt:lpstr>
      <vt:lpstr>'Nelson-Siegel Curve OLS Fit'!lambda</vt:lpstr>
      <vt:lpstr>'Svensson Curve Yield'!lambda</vt:lpstr>
      <vt:lpstr>lambda</vt:lpstr>
      <vt:lpstr>'Nelson-Siegel Curve OLS Fit'!Level</vt:lpstr>
      <vt:lpstr>'Svensson Curve Yield'!Level</vt:lpstr>
      <vt:lpstr>Level</vt:lpstr>
      <vt:lpstr>'Nelson-Siegel Curve OLS Fit'!Slope</vt:lpstr>
      <vt:lpstr>'Svensson Curve Yield'!Slope</vt:lpstr>
      <vt:lpstr>Slope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HWP</dc:creator>
  <cp:lastModifiedBy>Hal Pedersen</cp:lastModifiedBy>
  <dcterms:created xsi:type="dcterms:W3CDTF">2014-03-20T13:05:45Z</dcterms:created>
  <dcterms:modified xsi:type="dcterms:W3CDTF">2025-05-22T20:31:43Z</dcterms:modified>
</cp:coreProperties>
</file>